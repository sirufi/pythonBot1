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нструкция" sheetId="1" r:id="rId4"/>
    <sheet state="visible" name="Ноябрь 2025" sheetId="2" r:id="rId5"/>
    <sheet state="visible" name="Декабрь 2025" sheetId="3" r:id="rId6"/>
    <sheet state="visible" name="Январь" sheetId="4" r:id="rId7"/>
    <sheet state="visible" name="Февраль" sheetId="5" r:id="rId8"/>
    <sheet state="visible" name="Март" sheetId="6" r:id="rId9"/>
    <sheet state="visible" name="Апрель" sheetId="7" r:id="rId10"/>
    <sheet state="visible" name="Май" sheetId="8" r:id="rId11"/>
    <sheet state="visible" name="Июнь" sheetId="9" r:id="rId12"/>
    <sheet state="visible" name="Июль" sheetId="10" r:id="rId13"/>
    <sheet state="visible" name="Август" sheetId="11" r:id="rId14"/>
    <sheet state="visible" name="Сентябрь" sheetId="12" r:id="rId15"/>
    <sheet state="visible" name="Октябрь" sheetId="13" r:id="rId16"/>
    <sheet state="visible" name="Ноябрь" sheetId="14" r:id="rId17"/>
    <sheet state="visible" name="Декабрь" sheetId="15" r:id="rId18"/>
  </sheets>
  <definedNames/>
  <calcPr/>
</workbook>
</file>

<file path=xl/sharedStrings.xml><?xml version="1.0" encoding="utf-8"?>
<sst xmlns="http://schemas.openxmlformats.org/spreadsheetml/2006/main" count="956" uniqueCount="36">
  <si>
    <t>Ноябрь</t>
  </si>
  <si>
    <t>Количество привычек</t>
  </si>
  <si>
    <t>Выполненные привычки</t>
  </si>
  <si>
    <t>Прогресс</t>
  </si>
  <si>
    <t>Прогресс в %</t>
  </si>
  <si>
    <t>Мои привычки</t>
  </si>
  <si>
    <t>Неделя 1</t>
  </si>
  <si>
    <t>Неделя 2</t>
  </si>
  <si>
    <t>Неделя 3</t>
  </si>
  <si>
    <t>Неделя 4</t>
  </si>
  <si>
    <t>Неделя 5</t>
  </si>
  <si>
    <t>Анализ</t>
  </si>
  <si>
    <t>пн</t>
  </si>
  <si>
    <t>вт</t>
  </si>
  <si>
    <t>ср</t>
  </si>
  <si>
    <t>чт</t>
  </si>
  <si>
    <t>пт</t>
  </si>
  <si>
    <t>сб</t>
  </si>
  <si>
    <t>вс</t>
  </si>
  <si>
    <t>Цель</t>
  </si>
  <si>
    <t>Факт</t>
  </si>
  <si>
    <t>%</t>
  </si>
  <si>
    <t>Подъем в 6:00, сон в 22:00</t>
  </si>
  <si>
    <t>Спорт/танцы 20 мин</t>
  </si>
  <si>
    <t>Не курить</t>
  </si>
  <si>
    <t>Дневник</t>
  </si>
  <si>
    <t>Чтение</t>
  </si>
  <si>
    <t>Канал</t>
  </si>
  <si>
    <t>Финансы</t>
  </si>
  <si>
    <t>IT</t>
  </si>
  <si>
    <t>Цели</t>
  </si>
  <si>
    <t>Выполнено</t>
  </si>
  <si>
    <t>1.
2.
3.
4.
5.
6.
7.
8.</t>
  </si>
  <si>
    <t>Невыполнено</t>
  </si>
  <si>
    <t>Изучение финансов 30 мин</t>
  </si>
  <si>
    <t>Неделя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</si>
</sst>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20.0"/>
      <color rgb="FF434343"/>
      <name val="Montserrat"/>
    </font>
    <font>
      <b/>
      <sz val="12.0"/>
      <color rgb="FF434343"/>
      <name val="Montserrat"/>
    </font>
    <font>
      <color rgb="FF434343"/>
      <name val="Montserrat"/>
    </font>
    <font/>
    <font>
      <b/>
      <color rgb="FF434343"/>
      <name val="Montserrat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4">
    <border/>
    <border>
      <left style="medium">
        <color rgb="FF999999"/>
      </left>
      <top style="medium">
        <color rgb="FF999999"/>
      </top>
      <bottom style="medium">
        <color rgb="FF999999"/>
      </bottom>
    </border>
    <border>
      <top style="medium">
        <color rgb="FF999999"/>
      </top>
      <bottom style="medium">
        <color rgb="FF999999"/>
      </bottom>
    </border>
    <border>
      <right style="medium">
        <color rgb="FF999999"/>
      </right>
      <top style="medium">
        <color rgb="FF999999"/>
      </top>
      <bottom style="medium">
        <color rgb="FF999999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vertical="bottom"/>
    </xf>
    <xf borderId="0" fillId="2" fontId="2" numFmtId="0" xfId="0" applyAlignment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0" fillId="2" fontId="2" numFmtId="10" xfId="0" applyAlignment="1" applyFont="1" applyNumberFormat="1">
      <alignment horizontal="center" readingOrder="0" vertical="center"/>
    </xf>
    <xf borderId="0" fillId="2" fontId="3" numFmtId="0" xfId="0" applyFont="1"/>
    <xf borderId="0" fillId="0" fontId="5" numFmtId="0" xfId="0" applyFont="1"/>
    <xf borderId="0" fillId="3" fontId="5" numFmtId="0" xfId="0" applyAlignment="1" applyFill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0" fillId="3" fontId="5" numFmtId="0" xfId="0" applyAlignment="1" applyFont="1">
      <alignment readingOrder="0"/>
    </xf>
    <xf borderId="0" fillId="3" fontId="5" numFmtId="0" xfId="0" applyAlignment="1" applyFont="1">
      <alignment horizontal="left" readingOrder="0" vertical="center"/>
    </xf>
    <xf borderId="0" fillId="2" fontId="3" numFmtId="0" xfId="0" applyAlignment="1" applyFont="1">
      <alignment horizontal="center" readingOrder="0" vertical="center"/>
    </xf>
    <xf borderId="0" fillId="3" fontId="3" numFmtId="0" xfId="0" applyAlignment="1" applyFont="1">
      <alignment horizontal="center" readingOrder="0" vertical="center"/>
    </xf>
    <xf borderId="0" fillId="2" fontId="3" numFmtId="0" xfId="0" applyAlignment="1" applyFont="1">
      <alignment readingOrder="0" vertical="bottom"/>
    </xf>
    <xf borderId="0" fillId="2" fontId="3" numFmtId="9" xfId="0" applyAlignment="1" applyFont="1" applyNumberFormat="1">
      <alignment readingOrder="0" vertical="bottom"/>
    </xf>
    <xf borderId="0" fillId="2" fontId="3" numFmtId="0" xfId="0" applyAlignment="1" applyFont="1">
      <alignment vertical="bottom"/>
    </xf>
    <xf borderId="0" fillId="2" fontId="3" numFmtId="0" xfId="0" applyAlignment="1" applyFont="1">
      <alignment horizontal="center" vertical="center"/>
    </xf>
    <xf borderId="0" fillId="3" fontId="3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3" numFmtId="0" xfId="0" applyFont="1"/>
    <xf borderId="0" fillId="4" fontId="3" numFmtId="9" xfId="0" applyAlignment="1" applyFill="1" applyFont="1" applyNumberFormat="1">
      <alignment readingOrder="0"/>
    </xf>
    <xf borderId="0" fillId="2" fontId="3" numFmtId="0" xfId="0" applyAlignment="1" applyFont="1">
      <alignment readingOrder="0"/>
    </xf>
    <xf borderId="0" fillId="2" fontId="3" numFmtId="0" xfId="0" applyAlignment="1" applyFont="1">
      <alignment readingOrder="0" vertical="center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6AA84F">
                <a:alpha val="30000"/>
              </a:srgbClr>
            </a:solidFill>
            <a:ln cmpd="sng">
              <a:solidFill>
                <a:srgbClr val="6AA84F">
                  <a:alpha val="100000"/>
                </a:srgbClr>
              </a:solidFill>
            </a:ln>
          </c:spPr>
          <c:val>
            <c:numRef>
              <c:f>'Ноябрь 2025'!$C$18:$AG$18</c:f>
              <c:numCache/>
            </c:numRef>
          </c:val>
        </c:ser>
        <c:axId val="1406736921"/>
        <c:axId val="149993498"/>
      </c:areaChart>
      <c:catAx>
        <c:axId val="14067369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993498"/>
      </c:catAx>
      <c:valAx>
        <c:axId val="149993498"/>
        <c:scaling>
          <c:orientation val="minMax"/>
          <c:max val="1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6736921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6AA84F">
                <a:alpha val="30000"/>
              </a:srgbClr>
            </a:solidFill>
            <a:ln cmpd="sng">
              <a:solidFill>
                <a:srgbClr val="6AA84F">
                  <a:alpha val="100000"/>
                </a:srgbClr>
              </a:solidFill>
            </a:ln>
          </c:spPr>
          <c:val>
            <c:numRef>
              <c:f>'Декабрь 2025'!$C$18:$AG$18</c:f>
              <c:numCache/>
            </c:numRef>
          </c:val>
        </c:ser>
        <c:axId val="1633184136"/>
        <c:axId val="306527623"/>
      </c:areaChart>
      <c:catAx>
        <c:axId val="1633184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6527623"/>
      </c:catAx>
      <c:valAx>
        <c:axId val="306527623"/>
        <c:scaling>
          <c:orientation val="minMax"/>
          <c:max val="1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3184136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6AA84F">
                <a:alpha val="30000"/>
              </a:srgbClr>
            </a:solidFill>
            <a:ln cmpd="sng">
              <a:solidFill>
                <a:srgbClr val="6AA84F">
                  <a:alpha val="100000"/>
                </a:srgbClr>
              </a:solidFill>
            </a:ln>
          </c:spPr>
          <c:val>
            <c:numRef>
              <c:f>'Январь'!$C$18:$AG$18</c:f>
              <c:numCache/>
            </c:numRef>
          </c:val>
        </c:ser>
        <c:axId val="1812593156"/>
        <c:axId val="877630183"/>
      </c:areaChart>
      <c:catAx>
        <c:axId val="18125931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7630183"/>
      </c:catAx>
      <c:valAx>
        <c:axId val="877630183"/>
        <c:scaling>
          <c:orientation val="minMax"/>
          <c:max val="1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2593156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6AA84F">
                <a:alpha val="30000"/>
              </a:srgbClr>
            </a:solidFill>
            <a:ln cmpd="sng">
              <a:solidFill>
                <a:srgbClr val="6AA84F">
                  <a:alpha val="100000"/>
                </a:srgbClr>
              </a:solidFill>
            </a:ln>
          </c:spPr>
          <c:val>
            <c:numRef>
              <c:f>'Февраль'!$C$18:$AG$18</c:f>
              <c:numCache/>
            </c:numRef>
          </c:val>
        </c:ser>
        <c:axId val="2008213703"/>
        <c:axId val="187118618"/>
      </c:areaChart>
      <c:catAx>
        <c:axId val="20082137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118618"/>
      </c:catAx>
      <c:valAx>
        <c:axId val="187118618"/>
        <c:scaling>
          <c:orientation val="minMax"/>
          <c:max val="1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8213703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6AA84F">
                <a:alpha val="30000"/>
              </a:srgbClr>
            </a:solidFill>
            <a:ln cmpd="sng">
              <a:solidFill>
                <a:srgbClr val="6AA84F">
                  <a:alpha val="100000"/>
                </a:srgbClr>
              </a:solidFill>
            </a:ln>
          </c:spPr>
          <c:val>
            <c:numRef>
              <c:f>'Март'!$C$18:$AG$18</c:f>
              <c:numCache/>
            </c:numRef>
          </c:val>
        </c:ser>
        <c:axId val="102433221"/>
        <c:axId val="1820905193"/>
      </c:areaChart>
      <c:catAx>
        <c:axId val="1024332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0905193"/>
      </c:catAx>
      <c:valAx>
        <c:axId val="1820905193"/>
        <c:scaling>
          <c:orientation val="minMax"/>
          <c:max val="1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433221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6AA84F">
                <a:alpha val="30000"/>
              </a:srgbClr>
            </a:solidFill>
            <a:ln cmpd="sng">
              <a:solidFill>
                <a:srgbClr val="6AA84F">
                  <a:alpha val="100000"/>
                </a:srgbClr>
              </a:solidFill>
            </a:ln>
          </c:spPr>
          <c:val>
            <c:numRef>
              <c:f>'Апрель'!$C$18:$AG$18</c:f>
              <c:numCache/>
            </c:numRef>
          </c:val>
        </c:ser>
        <c:axId val="786133740"/>
        <c:axId val="1257648936"/>
      </c:areaChart>
      <c:catAx>
        <c:axId val="7861337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7648936"/>
      </c:catAx>
      <c:valAx>
        <c:axId val="1257648936"/>
        <c:scaling>
          <c:orientation val="minMax"/>
          <c:max val="1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6133740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6AA84F">
                <a:alpha val="30000"/>
              </a:srgbClr>
            </a:solidFill>
            <a:ln cmpd="sng">
              <a:solidFill>
                <a:srgbClr val="6AA84F">
                  <a:alpha val="100000"/>
                </a:srgbClr>
              </a:solidFill>
            </a:ln>
          </c:spPr>
          <c:val>
            <c:numRef>
              <c:f>'Май'!$C$18:$AG$18</c:f>
              <c:numCache/>
            </c:numRef>
          </c:val>
        </c:ser>
        <c:axId val="1156405366"/>
        <c:axId val="1819240231"/>
      </c:areaChart>
      <c:catAx>
        <c:axId val="11564053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9240231"/>
      </c:catAx>
      <c:valAx>
        <c:axId val="1819240231"/>
        <c:scaling>
          <c:orientation val="minMax"/>
          <c:max val="1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6405366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6AA84F">
                <a:alpha val="30000"/>
              </a:srgbClr>
            </a:solidFill>
            <a:ln cmpd="sng">
              <a:solidFill>
                <a:srgbClr val="6AA84F">
                  <a:alpha val="100000"/>
                </a:srgbClr>
              </a:solidFill>
            </a:ln>
          </c:spPr>
          <c:val>
            <c:numRef>
              <c:f>'Июнь'!$C$18:$AG$18</c:f>
              <c:numCache/>
            </c:numRef>
          </c:val>
        </c:ser>
        <c:axId val="1639321621"/>
        <c:axId val="1219684112"/>
      </c:areaChart>
      <c:catAx>
        <c:axId val="16393216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9684112"/>
      </c:catAx>
      <c:valAx>
        <c:axId val="1219684112"/>
        <c:scaling>
          <c:orientation val="minMax"/>
          <c:max val="1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9321621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6AA84F">
                <a:alpha val="30000"/>
              </a:srgbClr>
            </a:solidFill>
            <a:ln cmpd="sng">
              <a:solidFill>
                <a:srgbClr val="6AA84F">
                  <a:alpha val="100000"/>
                </a:srgbClr>
              </a:solidFill>
            </a:ln>
          </c:spPr>
          <c:val>
            <c:numRef>
              <c:f>'Июль'!$C$18:$AG$18</c:f>
              <c:numCache/>
            </c:numRef>
          </c:val>
        </c:ser>
        <c:axId val="1190699354"/>
        <c:axId val="224523450"/>
      </c:areaChart>
      <c:catAx>
        <c:axId val="11906993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4523450"/>
      </c:catAx>
      <c:valAx>
        <c:axId val="224523450"/>
        <c:scaling>
          <c:orientation val="minMax"/>
          <c:max val="1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0699354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6AA84F">
                <a:alpha val="30000"/>
              </a:srgbClr>
            </a:solidFill>
            <a:ln cmpd="sng">
              <a:solidFill>
                <a:srgbClr val="6AA84F">
                  <a:alpha val="100000"/>
                </a:srgbClr>
              </a:solidFill>
            </a:ln>
          </c:spPr>
          <c:val>
            <c:numRef>
              <c:f>'Август'!$C$18:$AG$18</c:f>
              <c:numCache/>
            </c:numRef>
          </c:val>
        </c:ser>
        <c:axId val="1274289973"/>
        <c:axId val="369792716"/>
      </c:areaChart>
      <c:catAx>
        <c:axId val="12742899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9792716"/>
      </c:catAx>
      <c:valAx>
        <c:axId val="369792716"/>
        <c:scaling>
          <c:orientation val="minMax"/>
          <c:max val="1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4289973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6AA84F">
                <a:alpha val="30000"/>
              </a:srgbClr>
            </a:solidFill>
            <a:ln cmpd="sng">
              <a:solidFill>
                <a:srgbClr val="6AA84F">
                  <a:alpha val="100000"/>
                </a:srgbClr>
              </a:solidFill>
            </a:ln>
          </c:spPr>
          <c:val>
            <c:numRef>
              <c:f>'Сентябрь'!$C$18:$AG$18</c:f>
              <c:numCache/>
            </c:numRef>
          </c:val>
        </c:ser>
        <c:axId val="1831822757"/>
        <c:axId val="1829328336"/>
      </c:areaChart>
      <c:catAx>
        <c:axId val="18318227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9328336"/>
      </c:catAx>
      <c:valAx>
        <c:axId val="1829328336"/>
        <c:scaling>
          <c:orientation val="minMax"/>
          <c:max val="1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1822757"/>
      </c:valAx>
    </c:plotArea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6AA84F">
                <a:alpha val="30000"/>
              </a:srgbClr>
            </a:solidFill>
            <a:ln cmpd="sng">
              <a:solidFill>
                <a:srgbClr val="6AA84F">
                  <a:alpha val="100000"/>
                </a:srgbClr>
              </a:solidFill>
            </a:ln>
          </c:spPr>
          <c:val>
            <c:numRef>
              <c:f>'Октябрь'!$C$18:$AG$18</c:f>
              <c:numCache/>
            </c:numRef>
          </c:val>
        </c:ser>
        <c:axId val="898732354"/>
        <c:axId val="47234132"/>
      </c:areaChart>
      <c:catAx>
        <c:axId val="8987323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234132"/>
      </c:catAx>
      <c:valAx>
        <c:axId val="47234132"/>
        <c:scaling>
          <c:orientation val="minMax"/>
          <c:max val="1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8732354"/>
      </c:valAx>
    </c:plotArea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6AA84F">
                <a:alpha val="30000"/>
              </a:srgbClr>
            </a:solidFill>
            <a:ln cmpd="sng">
              <a:solidFill>
                <a:srgbClr val="6AA84F">
                  <a:alpha val="100000"/>
                </a:srgbClr>
              </a:solidFill>
            </a:ln>
          </c:spPr>
          <c:val>
            <c:numRef>
              <c:f>'Ноябрь'!$C$18:$AG$18</c:f>
              <c:numCache/>
            </c:numRef>
          </c:val>
        </c:ser>
        <c:axId val="199587088"/>
        <c:axId val="1047083855"/>
      </c:areaChart>
      <c:catAx>
        <c:axId val="199587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7083855"/>
      </c:catAx>
      <c:valAx>
        <c:axId val="1047083855"/>
        <c:scaling>
          <c:orientation val="minMax"/>
          <c:max val="1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587088"/>
      </c:valAx>
    </c:plotArea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6AA84F">
                <a:alpha val="30000"/>
              </a:srgbClr>
            </a:solidFill>
            <a:ln cmpd="sng">
              <a:solidFill>
                <a:srgbClr val="6AA84F">
                  <a:alpha val="100000"/>
                </a:srgbClr>
              </a:solidFill>
            </a:ln>
          </c:spPr>
          <c:val>
            <c:numRef>
              <c:f>'Декабрь'!$C$18:$AG$18</c:f>
              <c:numCache/>
            </c:numRef>
          </c:val>
        </c:ser>
        <c:axId val="159394609"/>
        <c:axId val="25912311"/>
      </c:areaChart>
      <c:catAx>
        <c:axId val="1593946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912311"/>
      </c:catAx>
      <c:valAx>
        <c:axId val="25912311"/>
        <c:scaling>
          <c:orientation val="minMax"/>
          <c:max val="1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394609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21</xdr:row>
      <xdr:rowOff>19050</xdr:rowOff>
    </xdr:from>
    <xdr:ext cx="9858375" cy="195262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21</xdr:row>
      <xdr:rowOff>19050</xdr:rowOff>
    </xdr:from>
    <xdr:ext cx="9858375" cy="195262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21</xdr:row>
      <xdr:rowOff>19050</xdr:rowOff>
    </xdr:from>
    <xdr:ext cx="9858375" cy="195262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21</xdr:row>
      <xdr:rowOff>19050</xdr:rowOff>
    </xdr:from>
    <xdr:ext cx="9858375" cy="195262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21</xdr:row>
      <xdr:rowOff>19050</xdr:rowOff>
    </xdr:from>
    <xdr:ext cx="9858375" cy="1952625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21</xdr:row>
      <xdr:rowOff>19050</xdr:rowOff>
    </xdr:from>
    <xdr:ext cx="9858375" cy="1952625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21</xdr:row>
      <xdr:rowOff>19050</xdr:rowOff>
    </xdr:from>
    <xdr:ext cx="9858375" cy="1952625"/>
    <xdr:graphicFrame>
      <xdr:nvGraphicFramePr>
        <xdr:cNvPr id="7" name="Chart 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21</xdr:row>
      <xdr:rowOff>19050</xdr:rowOff>
    </xdr:from>
    <xdr:ext cx="9858375" cy="1952625"/>
    <xdr:graphicFrame>
      <xdr:nvGraphicFramePr>
        <xdr:cNvPr id="8" name="Chart 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21</xdr:row>
      <xdr:rowOff>19050</xdr:rowOff>
    </xdr:from>
    <xdr:ext cx="9858375" cy="1952625"/>
    <xdr:graphicFrame>
      <xdr:nvGraphicFramePr>
        <xdr:cNvPr id="9" name="Chart 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21</xdr:row>
      <xdr:rowOff>19050</xdr:rowOff>
    </xdr:from>
    <xdr:ext cx="9858375" cy="1952625"/>
    <xdr:graphicFrame>
      <xdr:nvGraphicFramePr>
        <xdr:cNvPr id="10" name="Chart 1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21</xdr:row>
      <xdr:rowOff>19050</xdr:rowOff>
    </xdr:from>
    <xdr:ext cx="9858375" cy="1952625"/>
    <xdr:graphicFrame>
      <xdr:nvGraphicFramePr>
        <xdr:cNvPr id="11" name="Chart 1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21</xdr:row>
      <xdr:rowOff>19050</xdr:rowOff>
    </xdr:from>
    <xdr:ext cx="9858375" cy="1952625"/>
    <xdr:graphicFrame>
      <xdr:nvGraphicFramePr>
        <xdr:cNvPr id="12" name="Chart 1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21</xdr:row>
      <xdr:rowOff>19050</xdr:rowOff>
    </xdr:from>
    <xdr:ext cx="9858375" cy="1952625"/>
    <xdr:graphicFrame>
      <xdr:nvGraphicFramePr>
        <xdr:cNvPr id="13" name="Chart 1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21</xdr:row>
      <xdr:rowOff>19050</xdr:rowOff>
    </xdr:from>
    <xdr:ext cx="9858375" cy="1952625"/>
    <xdr:graphicFrame>
      <xdr:nvGraphicFramePr>
        <xdr:cNvPr id="14" name="Chart 1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26.25"/>
    <col customWidth="1" min="3" max="22" width="4.13"/>
    <col customWidth="1" min="23" max="23" width="4.5"/>
    <col customWidth="1" min="24" max="35" width="4.13"/>
    <col customWidth="1" min="36" max="36" width="5.38"/>
    <col customWidth="1" min="37" max="37" width="3.75"/>
    <col customWidth="1" min="38" max="38" width="5.25"/>
    <col customWidth="1" min="39" max="39" width="4.5"/>
    <col customWidth="1" min="40" max="40" width="4.75"/>
    <col customWidth="1" min="41" max="41" width="6.88"/>
    <col customWidth="1" min="42" max="42" width="13.25"/>
  </cols>
  <sheetData>
    <row r="1" ht="36.75" customHeight="1">
      <c r="A1" s="1" t="s">
        <v>0</v>
      </c>
      <c r="I1" s="2" t="s">
        <v>1</v>
      </c>
      <c r="O1" s="2" t="s">
        <v>2</v>
      </c>
      <c r="W1" s="2" t="s">
        <v>3</v>
      </c>
      <c r="AD1" s="2" t="s">
        <v>4</v>
      </c>
      <c r="AH1" s="3"/>
      <c r="AI1" s="3"/>
      <c r="AJ1" s="3"/>
      <c r="AK1" s="3"/>
      <c r="AL1" s="3"/>
    </row>
    <row r="2">
      <c r="I2" s="2">
        <v>8.0</v>
      </c>
      <c r="O2" s="4">
        <f>COUNTIF(C8:AG12, TRUE)</f>
        <v>1</v>
      </c>
      <c r="W2" s="5" t="str">
        <f>IFERROR(__xludf.DUMMYFUNCTION("SPARKLINE(AD2, {""charttype"",""bar""; ""max"",1;""color1"",""green""; ""empty"",""zero""})"),"")</f>
        <v/>
      </c>
      <c r="X2" s="6"/>
      <c r="Y2" s="6"/>
      <c r="Z2" s="6"/>
      <c r="AA2" s="6"/>
      <c r="AB2" s="6"/>
      <c r="AC2" s="7"/>
      <c r="AD2" s="8">
        <f>SUM(O2) / (COUNTA(C8:AG8) * ROWS(C8:AG15))</f>
        <v>0.004032258065</v>
      </c>
      <c r="AH2" s="3"/>
      <c r="AI2" s="3"/>
      <c r="AJ2" s="3"/>
      <c r="AK2" s="3"/>
      <c r="AL2" s="3"/>
    </row>
    <row r="3">
      <c r="I3" s="9"/>
      <c r="AH3" s="3"/>
      <c r="AI3" s="3"/>
      <c r="AJ3" s="3"/>
      <c r="AK3" s="3"/>
      <c r="AL3" s="3"/>
    </row>
    <row r="4">
      <c r="A4" s="10"/>
      <c r="AH4" s="3"/>
      <c r="AI4" s="3"/>
      <c r="AJ4" s="3"/>
      <c r="AK4" s="3"/>
      <c r="AL4" s="3"/>
      <c r="AM4" s="3"/>
      <c r="AN4" s="3"/>
      <c r="AO4" s="3"/>
      <c r="AP4" s="3"/>
    </row>
    <row r="5">
      <c r="A5" s="11" t="s">
        <v>5</v>
      </c>
      <c r="C5" s="12" t="s">
        <v>6</v>
      </c>
      <c r="J5" s="11" t="s">
        <v>7</v>
      </c>
      <c r="Q5" s="12" t="s">
        <v>8</v>
      </c>
      <c r="X5" s="11" t="s">
        <v>9</v>
      </c>
      <c r="AE5" s="12" t="s">
        <v>10</v>
      </c>
      <c r="AM5" s="13" t="s">
        <v>11</v>
      </c>
    </row>
    <row r="6"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2" t="s">
        <v>17</v>
      </c>
      <c r="I6" s="12" t="s">
        <v>18</v>
      </c>
      <c r="J6" s="11" t="s">
        <v>12</v>
      </c>
      <c r="K6" s="11" t="s">
        <v>13</v>
      </c>
      <c r="L6" s="11" t="s">
        <v>14</v>
      </c>
      <c r="M6" s="11" t="s">
        <v>15</v>
      </c>
      <c r="N6" s="11" t="s">
        <v>16</v>
      </c>
      <c r="O6" s="11" t="s">
        <v>17</v>
      </c>
      <c r="P6" s="11" t="s">
        <v>18</v>
      </c>
      <c r="Q6" s="12" t="s">
        <v>12</v>
      </c>
      <c r="R6" s="12" t="s">
        <v>13</v>
      </c>
      <c r="S6" s="12" t="s">
        <v>14</v>
      </c>
      <c r="T6" s="12" t="s">
        <v>15</v>
      </c>
      <c r="U6" s="12" t="s">
        <v>16</v>
      </c>
      <c r="V6" s="12" t="s">
        <v>17</v>
      </c>
      <c r="W6" s="12" t="s">
        <v>18</v>
      </c>
      <c r="X6" s="11" t="s">
        <v>12</v>
      </c>
      <c r="Y6" s="11" t="s">
        <v>13</v>
      </c>
      <c r="Z6" s="11" t="s">
        <v>14</v>
      </c>
      <c r="AA6" s="11" t="s">
        <v>15</v>
      </c>
      <c r="AB6" s="11" t="s">
        <v>16</v>
      </c>
      <c r="AC6" s="11" t="s">
        <v>17</v>
      </c>
      <c r="AD6" s="11" t="s">
        <v>18</v>
      </c>
      <c r="AE6" s="12" t="s">
        <v>12</v>
      </c>
      <c r="AF6" s="12" t="s">
        <v>13</v>
      </c>
      <c r="AG6" s="12" t="s">
        <v>14</v>
      </c>
      <c r="AH6" s="12" t="s">
        <v>15</v>
      </c>
      <c r="AI6" s="12" t="s">
        <v>16</v>
      </c>
      <c r="AJ6" s="12" t="s">
        <v>17</v>
      </c>
      <c r="AK6" s="12" t="s">
        <v>18</v>
      </c>
      <c r="AL6" s="3"/>
    </row>
    <row r="7">
      <c r="C7" s="12">
        <v>27.0</v>
      </c>
      <c r="D7" s="12">
        <v>28.0</v>
      </c>
      <c r="E7" s="12">
        <v>29.0</v>
      </c>
      <c r="F7" s="12">
        <v>30.0</v>
      </c>
      <c r="G7" s="12">
        <v>31.0</v>
      </c>
      <c r="H7" s="12">
        <v>1.0</v>
      </c>
      <c r="I7" s="12">
        <v>2.0</v>
      </c>
      <c r="J7" s="11">
        <v>3.0</v>
      </c>
      <c r="K7" s="11">
        <v>4.0</v>
      </c>
      <c r="L7" s="11">
        <v>5.0</v>
      </c>
      <c r="M7" s="11">
        <v>6.0</v>
      </c>
      <c r="N7" s="11">
        <v>7.0</v>
      </c>
      <c r="O7" s="11">
        <v>8.0</v>
      </c>
      <c r="P7" s="11">
        <v>9.0</v>
      </c>
      <c r="Q7" s="12">
        <v>10.0</v>
      </c>
      <c r="R7" s="12">
        <v>11.0</v>
      </c>
      <c r="S7" s="12">
        <v>12.0</v>
      </c>
      <c r="T7" s="12">
        <v>13.0</v>
      </c>
      <c r="U7" s="12">
        <v>14.0</v>
      </c>
      <c r="V7" s="12">
        <v>15.0</v>
      </c>
      <c r="W7" s="12">
        <v>16.0</v>
      </c>
      <c r="X7" s="11">
        <v>17.0</v>
      </c>
      <c r="Y7" s="11">
        <v>18.0</v>
      </c>
      <c r="Z7" s="11">
        <v>19.0</v>
      </c>
      <c r="AA7" s="11">
        <v>20.0</v>
      </c>
      <c r="AB7" s="11">
        <v>21.0</v>
      </c>
      <c r="AC7" s="11">
        <v>22.0</v>
      </c>
      <c r="AD7" s="11">
        <v>23.0</v>
      </c>
      <c r="AE7" s="12">
        <v>24.0</v>
      </c>
      <c r="AF7" s="12">
        <v>25.0</v>
      </c>
      <c r="AG7" s="12">
        <v>26.0</v>
      </c>
      <c r="AH7" s="12">
        <v>27.0</v>
      </c>
      <c r="AI7" s="12">
        <v>28.0</v>
      </c>
      <c r="AJ7" s="12">
        <v>29.0</v>
      </c>
      <c r="AK7" s="12">
        <v>30.0</v>
      </c>
      <c r="AL7" s="3"/>
      <c r="AM7" s="14" t="s">
        <v>19</v>
      </c>
      <c r="AN7" s="14" t="s">
        <v>20</v>
      </c>
      <c r="AO7" s="14" t="s">
        <v>21</v>
      </c>
      <c r="AP7" s="14" t="s">
        <v>3</v>
      </c>
    </row>
    <row r="8">
      <c r="A8" s="15">
        <v>1.0</v>
      </c>
      <c r="B8" s="15" t="s">
        <v>22</v>
      </c>
      <c r="C8" s="16" t="b">
        <v>1</v>
      </c>
      <c r="D8" s="16" t="b">
        <v>0</v>
      </c>
      <c r="E8" s="16" t="b">
        <v>0</v>
      </c>
      <c r="F8" s="16" t="b">
        <v>0</v>
      </c>
      <c r="G8" s="16" t="b">
        <v>0</v>
      </c>
      <c r="H8" s="16" t="b">
        <v>0</v>
      </c>
      <c r="I8" s="16" t="b">
        <v>0</v>
      </c>
      <c r="J8" s="17" t="b">
        <v>0</v>
      </c>
      <c r="K8" s="17" t="b">
        <v>0</v>
      </c>
      <c r="L8" s="17" t="b">
        <v>0</v>
      </c>
      <c r="M8" s="17" t="b">
        <v>0</v>
      </c>
      <c r="N8" s="17" t="b">
        <v>0</v>
      </c>
      <c r="O8" s="17" t="b">
        <v>0</v>
      </c>
      <c r="P8" s="17" t="b">
        <v>0</v>
      </c>
      <c r="Q8" s="16" t="b">
        <v>0</v>
      </c>
      <c r="R8" s="16" t="b">
        <v>0</v>
      </c>
      <c r="S8" s="16" t="b">
        <v>0</v>
      </c>
      <c r="T8" s="16" t="b">
        <v>0</v>
      </c>
      <c r="U8" s="16" t="b">
        <v>0</v>
      </c>
      <c r="V8" s="16" t="b">
        <v>0</v>
      </c>
      <c r="W8" s="16" t="b">
        <v>0</v>
      </c>
      <c r="X8" s="17" t="b">
        <v>0</v>
      </c>
      <c r="Y8" s="17" t="b">
        <v>0</v>
      </c>
      <c r="Z8" s="17" t="b">
        <v>0</v>
      </c>
      <c r="AA8" s="17" t="b">
        <v>0</v>
      </c>
      <c r="AB8" s="17" t="b">
        <v>0</v>
      </c>
      <c r="AC8" s="17" t="b">
        <v>0</v>
      </c>
      <c r="AD8" s="17" t="b">
        <v>0</v>
      </c>
      <c r="AE8" s="16" t="b">
        <v>0</v>
      </c>
      <c r="AF8" s="16" t="b">
        <v>0</v>
      </c>
      <c r="AG8" s="16" t="b">
        <v>0</v>
      </c>
      <c r="AH8" s="16" t="b">
        <v>0</v>
      </c>
      <c r="AI8" s="16" t="b">
        <v>0</v>
      </c>
      <c r="AJ8" s="16" t="b">
        <v>0</v>
      </c>
      <c r="AK8" s="16" t="b">
        <v>0</v>
      </c>
      <c r="AL8" s="3"/>
      <c r="AM8" s="18">
        <v>31.0</v>
      </c>
      <c r="AN8" s="18">
        <f t="shared" ref="AN8:AN15" si="1">COUNTIF(C8:AK8, TRUE)</f>
        <v>1</v>
      </c>
      <c r="AO8" s="19">
        <f t="shared" ref="AO8:AO15" si="2">SUM(AN8 / (COUNTA(C8:AK8) * ROWS(C8:AK8)))</f>
        <v>0.02857142857</v>
      </c>
      <c r="AP8" s="20" t="str">
        <f>IFERROR(__xludf.DUMMYFUNCTION("SPARKLINE(AO8, {""charttype"",""bar""; ""max"",1;""color1"",""green""; ""empty"",""zero""})"),"")</f>
        <v/>
      </c>
    </row>
    <row r="9">
      <c r="A9" s="15">
        <v>2.0</v>
      </c>
      <c r="B9" s="15" t="s">
        <v>23</v>
      </c>
      <c r="C9" s="16" t="b">
        <v>0</v>
      </c>
      <c r="D9" s="21" t="b">
        <v>0</v>
      </c>
      <c r="E9" s="16" t="b">
        <v>0</v>
      </c>
      <c r="F9" s="21" t="b">
        <v>0</v>
      </c>
      <c r="G9" s="16" t="b">
        <v>0</v>
      </c>
      <c r="H9" s="21" t="b">
        <v>0</v>
      </c>
      <c r="I9" s="21" t="b">
        <v>0</v>
      </c>
      <c r="J9" s="22" t="b">
        <v>0</v>
      </c>
      <c r="K9" s="22" t="b">
        <v>0</v>
      </c>
      <c r="L9" s="22" t="b">
        <v>0</v>
      </c>
      <c r="M9" s="22" t="b">
        <v>0</v>
      </c>
      <c r="N9" s="22" t="b">
        <v>0</v>
      </c>
      <c r="O9" s="17" t="b">
        <v>0</v>
      </c>
      <c r="P9" s="17" t="b">
        <v>0</v>
      </c>
      <c r="Q9" s="21" t="b">
        <v>0</v>
      </c>
      <c r="R9" s="16" t="b">
        <v>0</v>
      </c>
      <c r="S9" s="16" t="b">
        <v>0</v>
      </c>
      <c r="T9" s="21" t="b">
        <v>0</v>
      </c>
      <c r="U9" s="16" t="b">
        <v>0</v>
      </c>
      <c r="V9" s="16" t="b">
        <v>0</v>
      </c>
      <c r="W9" s="21" t="b">
        <v>0</v>
      </c>
      <c r="X9" s="17" t="b">
        <v>0</v>
      </c>
      <c r="Y9" s="22" t="b">
        <v>0</v>
      </c>
      <c r="Z9" s="22" t="b">
        <v>0</v>
      </c>
      <c r="AA9" s="22" t="b">
        <v>0</v>
      </c>
      <c r="AB9" s="22" t="b">
        <v>0</v>
      </c>
      <c r="AC9" s="22" t="b">
        <v>0</v>
      </c>
      <c r="AD9" s="22" t="b">
        <v>0</v>
      </c>
      <c r="AE9" s="21" t="b">
        <v>0</v>
      </c>
      <c r="AF9" s="21" t="b">
        <v>0</v>
      </c>
      <c r="AG9" s="21" t="b">
        <v>0</v>
      </c>
      <c r="AH9" s="21" t="b">
        <v>0</v>
      </c>
      <c r="AI9" s="21" t="b">
        <v>0</v>
      </c>
      <c r="AJ9" s="16" t="b">
        <v>0</v>
      </c>
      <c r="AK9" s="21" t="b">
        <v>0</v>
      </c>
      <c r="AL9" s="3"/>
      <c r="AM9" s="18">
        <v>31.0</v>
      </c>
      <c r="AN9" s="18">
        <f t="shared" si="1"/>
        <v>0</v>
      </c>
      <c r="AO9" s="19">
        <f t="shared" si="2"/>
        <v>0</v>
      </c>
      <c r="AP9" s="20" t="str">
        <f>IFERROR(__xludf.DUMMYFUNCTION("SPARKLINE(AO9, {""charttype"",""bar""; ""max"",1;""color1"",""green""; ""empty"",""zero""})"),"")</f>
        <v/>
      </c>
    </row>
    <row r="10">
      <c r="A10" s="15">
        <v>3.0</v>
      </c>
      <c r="B10" s="15" t="s">
        <v>24</v>
      </c>
      <c r="C10" s="16" t="b">
        <v>0</v>
      </c>
      <c r="D10" s="21" t="b">
        <v>0</v>
      </c>
      <c r="E10" s="16" t="b">
        <v>0</v>
      </c>
      <c r="F10" s="21" t="b">
        <v>0</v>
      </c>
      <c r="G10" s="16" t="b">
        <v>0</v>
      </c>
      <c r="H10" s="21" t="b">
        <v>0</v>
      </c>
      <c r="I10" s="16" t="b">
        <v>0</v>
      </c>
      <c r="J10" s="22" t="b">
        <v>0</v>
      </c>
      <c r="K10" s="22" t="b">
        <v>0</v>
      </c>
      <c r="L10" s="22" t="b">
        <v>0</v>
      </c>
      <c r="M10" s="22" t="b">
        <v>0</v>
      </c>
      <c r="N10" s="22" t="b">
        <v>0</v>
      </c>
      <c r="O10" s="22" t="b">
        <v>0</v>
      </c>
      <c r="P10" s="17" t="b">
        <v>0</v>
      </c>
      <c r="Q10" s="21" t="b">
        <v>0</v>
      </c>
      <c r="R10" s="21" t="b">
        <v>0</v>
      </c>
      <c r="S10" s="16" t="b">
        <v>0</v>
      </c>
      <c r="T10" s="21" t="b">
        <v>0</v>
      </c>
      <c r="U10" s="16" t="b">
        <v>0</v>
      </c>
      <c r="V10" s="16" t="b">
        <v>0</v>
      </c>
      <c r="W10" s="21" t="b">
        <v>0</v>
      </c>
      <c r="X10" s="17" t="b">
        <v>0</v>
      </c>
      <c r="Y10" s="22" t="b">
        <v>0</v>
      </c>
      <c r="Z10" s="22" t="b">
        <v>0</v>
      </c>
      <c r="AA10" s="22" t="b">
        <v>0</v>
      </c>
      <c r="AB10" s="22" t="b">
        <v>0</v>
      </c>
      <c r="AC10" s="22" t="b">
        <v>0</v>
      </c>
      <c r="AD10" s="22" t="b">
        <v>0</v>
      </c>
      <c r="AE10" s="21" t="b">
        <v>0</v>
      </c>
      <c r="AF10" s="21" t="b">
        <v>0</v>
      </c>
      <c r="AG10" s="21" t="b">
        <v>0</v>
      </c>
      <c r="AH10" s="21" t="b">
        <v>0</v>
      </c>
      <c r="AI10" s="16" t="b">
        <v>0</v>
      </c>
      <c r="AJ10" s="16" t="b">
        <v>0</v>
      </c>
      <c r="AK10" s="21" t="b">
        <v>0</v>
      </c>
      <c r="AM10" s="18">
        <v>31.0</v>
      </c>
      <c r="AN10" s="18">
        <f t="shared" si="1"/>
        <v>0</v>
      </c>
      <c r="AO10" s="19">
        <f t="shared" si="2"/>
        <v>0</v>
      </c>
      <c r="AP10" s="20" t="str">
        <f>IFERROR(__xludf.DUMMYFUNCTION("SPARKLINE(AO10, {""charttype"",""bar""; ""max"",1;""color1"",""green""; ""empty"",""zero""})"),"")</f>
        <v/>
      </c>
    </row>
    <row r="11">
      <c r="A11" s="15">
        <v>4.0</v>
      </c>
      <c r="B11" s="15" t="s">
        <v>25</v>
      </c>
      <c r="C11" s="16" t="b">
        <v>0</v>
      </c>
      <c r="D11" s="16" t="b">
        <v>0</v>
      </c>
      <c r="E11" s="16" t="b">
        <v>0</v>
      </c>
      <c r="F11" s="16" t="b">
        <v>0</v>
      </c>
      <c r="G11" s="16" t="b">
        <v>0</v>
      </c>
      <c r="H11" s="16" t="b">
        <v>0</v>
      </c>
      <c r="I11" s="16" t="b">
        <v>0</v>
      </c>
      <c r="J11" s="22" t="b">
        <v>0</v>
      </c>
      <c r="K11" s="22" t="b">
        <v>0</v>
      </c>
      <c r="L11" s="22" t="b">
        <v>0</v>
      </c>
      <c r="M11" s="22" t="b">
        <v>0</v>
      </c>
      <c r="N11" s="17" t="b">
        <v>0</v>
      </c>
      <c r="O11" s="22" t="b">
        <v>0</v>
      </c>
      <c r="P11" s="22" t="b">
        <v>0</v>
      </c>
      <c r="Q11" s="21" t="b">
        <v>0</v>
      </c>
      <c r="R11" s="16" t="b">
        <v>0</v>
      </c>
      <c r="S11" s="16" t="b">
        <v>0</v>
      </c>
      <c r="T11" s="21" t="b">
        <v>0</v>
      </c>
      <c r="U11" s="16" t="b">
        <v>0</v>
      </c>
      <c r="V11" s="16" t="b">
        <v>0</v>
      </c>
      <c r="W11" s="21" t="b">
        <v>0</v>
      </c>
      <c r="X11" s="17" t="b">
        <v>0</v>
      </c>
      <c r="Y11" s="22" t="b">
        <v>0</v>
      </c>
      <c r="Z11" s="22" t="b">
        <v>0</v>
      </c>
      <c r="AA11" s="22" t="b">
        <v>0</v>
      </c>
      <c r="AB11" s="22" t="b">
        <v>0</v>
      </c>
      <c r="AC11" s="22" t="b">
        <v>0</v>
      </c>
      <c r="AD11" s="22" t="b">
        <v>0</v>
      </c>
      <c r="AE11" s="21" t="b">
        <v>0</v>
      </c>
      <c r="AF11" s="21" t="b">
        <v>0</v>
      </c>
      <c r="AG11" s="21" t="b">
        <v>0</v>
      </c>
      <c r="AH11" s="21" t="b">
        <v>0</v>
      </c>
      <c r="AI11" s="16" t="b">
        <v>0</v>
      </c>
      <c r="AJ11" s="21" t="b">
        <v>0</v>
      </c>
      <c r="AK11" s="21" t="b">
        <v>0</v>
      </c>
      <c r="AM11" s="18">
        <v>31.0</v>
      </c>
      <c r="AN11" s="18">
        <f t="shared" si="1"/>
        <v>0</v>
      </c>
      <c r="AO11" s="19">
        <f t="shared" si="2"/>
        <v>0</v>
      </c>
      <c r="AP11" s="20" t="str">
        <f>IFERROR(__xludf.DUMMYFUNCTION("SPARKLINE(AO11, {""charttype"",""bar""; ""max"",1;""color1"",""green""; ""empty"",""zero""})"),"")</f>
        <v/>
      </c>
    </row>
    <row r="12">
      <c r="A12" s="15">
        <v>5.0</v>
      </c>
      <c r="B12" s="15" t="s">
        <v>26</v>
      </c>
      <c r="C12" s="16" t="b">
        <v>0</v>
      </c>
      <c r="D12" s="16" t="b">
        <v>0</v>
      </c>
      <c r="E12" s="21" t="b">
        <v>0</v>
      </c>
      <c r="F12" s="21" t="b">
        <v>0</v>
      </c>
      <c r="G12" s="16" t="b">
        <v>0</v>
      </c>
      <c r="H12" s="16" t="b">
        <v>0</v>
      </c>
      <c r="I12" s="16" t="b">
        <v>0</v>
      </c>
      <c r="J12" s="22" t="b">
        <v>0</v>
      </c>
      <c r="K12" s="22" t="b">
        <v>0</v>
      </c>
      <c r="L12" s="17" t="b">
        <v>0</v>
      </c>
      <c r="M12" s="17" t="b">
        <v>0</v>
      </c>
      <c r="N12" s="17" t="b">
        <v>0</v>
      </c>
      <c r="O12" s="22" t="b">
        <v>0</v>
      </c>
      <c r="P12" s="22" t="b">
        <v>0</v>
      </c>
      <c r="Q12" s="16" t="b">
        <v>0</v>
      </c>
      <c r="R12" s="16" t="b">
        <v>0</v>
      </c>
      <c r="S12" s="21" t="b">
        <v>0</v>
      </c>
      <c r="T12" s="21" t="b">
        <v>0</v>
      </c>
      <c r="U12" s="16" t="b">
        <v>0</v>
      </c>
      <c r="V12" s="16" t="b">
        <v>0</v>
      </c>
      <c r="W12" s="21" t="b">
        <v>0</v>
      </c>
      <c r="X12" s="17" t="b">
        <v>0</v>
      </c>
      <c r="Y12" s="22" t="b">
        <v>0</v>
      </c>
      <c r="Z12" s="22" t="b">
        <v>0</v>
      </c>
      <c r="AA12" s="22" t="b">
        <v>0</v>
      </c>
      <c r="AB12" s="22" t="b">
        <v>0</v>
      </c>
      <c r="AC12" s="22" t="b">
        <v>0</v>
      </c>
      <c r="AD12" s="22" t="b">
        <v>0</v>
      </c>
      <c r="AE12" s="21" t="b">
        <v>0</v>
      </c>
      <c r="AF12" s="21" t="b">
        <v>0</v>
      </c>
      <c r="AG12" s="21" t="b">
        <v>0</v>
      </c>
      <c r="AH12" s="21" t="b">
        <v>0</v>
      </c>
      <c r="AI12" s="21" t="b">
        <v>0</v>
      </c>
      <c r="AJ12" s="21" t="b">
        <v>0</v>
      </c>
      <c r="AK12" s="21" t="b">
        <v>0</v>
      </c>
      <c r="AM12" s="18">
        <v>31.0</v>
      </c>
      <c r="AN12" s="18">
        <f t="shared" si="1"/>
        <v>0</v>
      </c>
      <c r="AO12" s="19">
        <f t="shared" si="2"/>
        <v>0</v>
      </c>
      <c r="AP12" s="20" t="str">
        <f>IFERROR(__xludf.DUMMYFUNCTION("SPARKLINE(AO12, {""charttype"",""bar""; ""max"",1;""color1"",""green""; ""empty"",""zero""})"),"")</f>
        <v/>
      </c>
    </row>
    <row r="13">
      <c r="A13" s="15">
        <v>6.0</v>
      </c>
      <c r="B13" s="15" t="s">
        <v>27</v>
      </c>
      <c r="C13" s="16" t="b">
        <v>0</v>
      </c>
      <c r="D13" s="21" t="b">
        <v>0</v>
      </c>
      <c r="E13" s="21" t="b">
        <v>0</v>
      </c>
      <c r="F13" s="21" t="b">
        <v>0</v>
      </c>
      <c r="G13" s="21" t="b">
        <v>0</v>
      </c>
      <c r="H13" s="21" t="b">
        <v>0</v>
      </c>
      <c r="I13" s="16" t="b">
        <v>0</v>
      </c>
      <c r="J13" s="17" t="b">
        <v>0</v>
      </c>
      <c r="K13" s="22" t="b">
        <v>0</v>
      </c>
      <c r="L13" s="22" t="b">
        <v>0</v>
      </c>
      <c r="M13" s="22" t="b">
        <v>0</v>
      </c>
      <c r="N13" s="17" t="b">
        <v>0</v>
      </c>
      <c r="O13" s="22" t="b">
        <v>0</v>
      </c>
      <c r="P13" s="22" t="b">
        <v>0</v>
      </c>
      <c r="Q13" s="21" t="b">
        <v>0</v>
      </c>
      <c r="R13" s="16" t="b">
        <v>0</v>
      </c>
      <c r="S13" s="21" t="b">
        <v>0</v>
      </c>
      <c r="T13" s="21" t="b">
        <v>0</v>
      </c>
      <c r="U13" s="16" t="b">
        <v>0</v>
      </c>
      <c r="V13" s="16" t="b">
        <v>0</v>
      </c>
      <c r="W13" s="21" t="b">
        <v>0</v>
      </c>
      <c r="X13" s="17" t="b">
        <v>0</v>
      </c>
      <c r="Y13" s="22" t="b">
        <v>0</v>
      </c>
      <c r="Z13" s="22" t="b">
        <v>0</v>
      </c>
      <c r="AA13" s="22" t="b">
        <v>0</v>
      </c>
      <c r="AB13" s="22" t="b">
        <v>0</v>
      </c>
      <c r="AC13" s="17" t="b">
        <v>0</v>
      </c>
      <c r="AD13" s="22" t="b">
        <v>0</v>
      </c>
      <c r="AE13" s="21" t="b">
        <v>0</v>
      </c>
      <c r="AF13" s="21" t="b">
        <v>0</v>
      </c>
      <c r="AG13" s="21" t="b">
        <v>0</v>
      </c>
      <c r="AH13" s="21" t="b">
        <v>0</v>
      </c>
      <c r="AI13" s="21" t="b">
        <v>0</v>
      </c>
      <c r="AJ13" s="21" t="b">
        <v>0</v>
      </c>
      <c r="AK13" s="21" t="b">
        <v>0</v>
      </c>
      <c r="AM13" s="18">
        <v>31.0</v>
      </c>
      <c r="AN13" s="18">
        <f t="shared" si="1"/>
        <v>0</v>
      </c>
      <c r="AO13" s="19">
        <f t="shared" si="2"/>
        <v>0</v>
      </c>
      <c r="AP13" s="20" t="str">
        <f>IFERROR(__xludf.DUMMYFUNCTION("SPARKLINE(AO13, {""charttype"",""bar""; ""max"",1;""color1"",""green""; ""empty"",""zero""})"),"")</f>
        <v/>
      </c>
    </row>
    <row r="14">
      <c r="A14" s="15">
        <v>7.0</v>
      </c>
      <c r="B14" s="15" t="s">
        <v>28</v>
      </c>
      <c r="C14" s="16" t="b">
        <v>0</v>
      </c>
      <c r="D14" s="16" t="b">
        <v>0</v>
      </c>
      <c r="E14" s="21" t="b">
        <v>0</v>
      </c>
      <c r="F14" s="21" t="b">
        <v>0</v>
      </c>
      <c r="G14" s="16" t="b">
        <v>0</v>
      </c>
      <c r="H14" s="21" t="b">
        <v>0</v>
      </c>
      <c r="I14" s="21" t="b">
        <v>0</v>
      </c>
      <c r="J14" s="17" t="b">
        <v>0</v>
      </c>
      <c r="K14" s="22" t="b">
        <v>0</v>
      </c>
      <c r="L14" s="17" t="b">
        <v>0</v>
      </c>
      <c r="M14" s="17" t="b">
        <v>0</v>
      </c>
      <c r="N14" s="22" t="b">
        <v>0</v>
      </c>
      <c r="O14" s="22" t="b">
        <v>0</v>
      </c>
      <c r="P14" s="22" t="b">
        <v>0</v>
      </c>
      <c r="Q14" s="21" t="b">
        <v>0</v>
      </c>
      <c r="R14" s="16" t="b">
        <v>0</v>
      </c>
      <c r="S14" s="21" t="b">
        <v>0</v>
      </c>
      <c r="T14" s="21" t="b">
        <v>0</v>
      </c>
      <c r="U14" s="16" t="b">
        <v>0</v>
      </c>
      <c r="V14" s="16" t="b">
        <v>0</v>
      </c>
      <c r="W14" s="21" t="b">
        <v>0</v>
      </c>
      <c r="X14" s="17" t="b">
        <v>0</v>
      </c>
      <c r="Y14" s="22" t="b">
        <v>0</v>
      </c>
      <c r="Z14" s="22" t="b">
        <v>0</v>
      </c>
      <c r="AA14" s="22" t="b">
        <v>0</v>
      </c>
      <c r="AB14" s="22" t="b">
        <v>0</v>
      </c>
      <c r="AC14" s="17" t="b">
        <v>0</v>
      </c>
      <c r="AD14" s="22" t="b">
        <v>0</v>
      </c>
      <c r="AE14" s="21" t="b">
        <v>0</v>
      </c>
      <c r="AF14" s="21" t="b">
        <v>0</v>
      </c>
      <c r="AG14" s="16" t="b">
        <v>0</v>
      </c>
      <c r="AH14" s="21" t="b">
        <v>0</v>
      </c>
      <c r="AI14" s="21" t="b">
        <v>0</v>
      </c>
      <c r="AJ14" s="21" t="b">
        <v>0</v>
      </c>
      <c r="AK14" s="16" t="b">
        <v>0</v>
      </c>
      <c r="AM14" s="18">
        <v>31.0</v>
      </c>
      <c r="AN14" s="18">
        <f t="shared" si="1"/>
        <v>0</v>
      </c>
      <c r="AO14" s="19">
        <f t="shared" si="2"/>
        <v>0</v>
      </c>
      <c r="AP14" s="20" t="str">
        <f>IFERROR(__xludf.DUMMYFUNCTION("SPARKLINE(AO14, {""charttype"",""bar""; ""max"",1;""color1"",""green""; ""empty"",""zero""})"),"")</f>
        <v/>
      </c>
    </row>
    <row r="15">
      <c r="A15" s="15">
        <v>8.0</v>
      </c>
      <c r="B15" s="15" t="s">
        <v>29</v>
      </c>
      <c r="C15" s="16" t="b">
        <v>0</v>
      </c>
      <c r="D15" s="21" t="b">
        <v>0</v>
      </c>
      <c r="E15" s="21" t="b">
        <v>0</v>
      </c>
      <c r="F15" s="16" t="b">
        <v>0</v>
      </c>
      <c r="G15" s="21" t="b">
        <v>0</v>
      </c>
      <c r="H15" s="16" t="b">
        <v>0</v>
      </c>
      <c r="I15" s="21" t="b">
        <v>0</v>
      </c>
      <c r="J15" s="17" t="b">
        <v>0</v>
      </c>
      <c r="K15" s="22" t="b">
        <v>0</v>
      </c>
      <c r="L15" s="22" t="b">
        <v>0</v>
      </c>
      <c r="M15" s="17" t="b">
        <v>0</v>
      </c>
      <c r="N15" s="22" t="b">
        <v>0</v>
      </c>
      <c r="O15" s="22" t="b">
        <v>0</v>
      </c>
      <c r="P15" s="22" t="b">
        <v>0</v>
      </c>
      <c r="Q15" s="21" t="b">
        <v>0</v>
      </c>
      <c r="R15" s="16" t="b">
        <v>0</v>
      </c>
      <c r="S15" s="21" t="b">
        <v>0</v>
      </c>
      <c r="T15" s="21" t="b">
        <v>0</v>
      </c>
      <c r="U15" s="16" t="b">
        <v>0</v>
      </c>
      <c r="V15" s="16" t="b">
        <v>0</v>
      </c>
      <c r="W15" s="21" t="b">
        <v>0</v>
      </c>
      <c r="X15" s="17" t="b">
        <v>0</v>
      </c>
      <c r="Y15" s="22" t="b">
        <v>0</v>
      </c>
      <c r="Z15" s="22" t="b">
        <v>0</v>
      </c>
      <c r="AA15" s="22" t="b">
        <v>0</v>
      </c>
      <c r="AB15" s="22" t="b">
        <v>0</v>
      </c>
      <c r="AC15" s="17" t="b">
        <v>0</v>
      </c>
      <c r="AD15" s="22" t="b">
        <v>0</v>
      </c>
      <c r="AE15" s="21" t="b">
        <v>0</v>
      </c>
      <c r="AF15" s="21" t="b">
        <v>0</v>
      </c>
      <c r="AG15" s="16" t="b">
        <v>0</v>
      </c>
      <c r="AH15" s="21" t="b">
        <v>0</v>
      </c>
      <c r="AI15" s="21" t="b">
        <v>0</v>
      </c>
      <c r="AJ15" s="16" t="b">
        <v>0</v>
      </c>
      <c r="AK15" s="16" t="b">
        <v>0</v>
      </c>
      <c r="AM15" s="18">
        <v>31.0</v>
      </c>
      <c r="AN15" s="18">
        <f t="shared" si="1"/>
        <v>0</v>
      </c>
      <c r="AO15" s="19">
        <f t="shared" si="2"/>
        <v>0</v>
      </c>
      <c r="AP15" s="20" t="str">
        <f>IFERROR(__xludf.DUMMYFUNCTION("SPARKLINE(AO15, {""charttype"",""bar""; ""max"",1;""color1"",""green""; ""empty"",""zero""})"),"")</f>
        <v/>
      </c>
    </row>
    <row r="17">
      <c r="A17" s="23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>
      <c r="A18" s="15" t="s">
        <v>3</v>
      </c>
      <c r="C18" s="25">
        <f t="shared" ref="C18:AG18" si="3">IF(COUNTA(C8:C12)=0, 0, COUNTIF(C8:C12, TRUE)/COUNTA(C8:C12))</f>
        <v>0.2</v>
      </c>
      <c r="D18" s="25">
        <f t="shared" si="3"/>
        <v>0</v>
      </c>
      <c r="E18" s="25">
        <f t="shared" si="3"/>
        <v>0</v>
      </c>
      <c r="F18" s="25">
        <f t="shared" si="3"/>
        <v>0</v>
      </c>
      <c r="G18" s="25">
        <f t="shared" si="3"/>
        <v>0</v>
      </c>
      <c r="H18" s="25">
        <f t="shared" si="3"/>
        <v>0</v>
      </c>
      <c r="I18" s="25">
        <f t="shared" si="3"/>
        <v>0</v>
      </c>
      <c r="J18" s="25">
        <f t="shared" si="3"/>
        <v>0</v>
      </c>
      <c r="K18" s="25">
        <f t="shared" si="3"/>
        <v>0</v>
      </c>
      <c r="L18" s="25">
        <f t="shared" si="3"/>
        <v>0</v>
      </c>
      <c r="M18" s="25">
        <f t="shared" si="3"/>
        <v>0</v>
      </c>
      <c r="N18" s="25">
        <f t="shared" si="3"/>
        <v>0</v>
      </c>
      <c r="O18" s="25">
        <f t="shared" si="3"/>
        <v>0</v>
      </c>
      <c r="P18" s="25">
        <f t="shared" si="3"/>
        <v>0</v>
      </c>
      <c r="Q18" s="25">
        <f t="shared" si="3"/>
        <v>0</v>
      </c>
      <c r="R18" s="25">
        <f t="shared" si="3"/>
        <v>0</v>
      </c>
      <c r="S18" s="25">
        <f t="shared" si="3"/>
        <v>0</v>
      </c>
      <c r="T18" s="25">
        <f t="shared" si="3"/>
        <v>0</v>
      </c>
      <c r="U18" s="25">
        <f t="shared" si="3"/>
        <v>0</v>
      </c>
      <c r="V18" s="25">
        <f t="shared" si="3"/>
        <v>0</v>
      </c>
      <c r="W18" s="25">
        <f t="shared" si="3"/>
        <v>0</v>
      </c>
      <c r="X18" s="25">
        <f t="shared" si="3"/>
        <v>0</v>
      </c>
      <c r="Y18" s="25">
        <f t="shared" si="3"/>
        <v>0</v>
      </c>
      <c r="Z18" s="25">
        <f t="shared" si="3"/>
        <v>0</v>
      </c>
      <c r="AA18" s="25">
        <f t="shared" si="3"/>
        <v>0</v>
      </c>
      <c r="AB18" s="25">
        <f t="shared" si="3"/>
        <v>0</v>
      </c>
      <c r="AC18" s="25">
        <f t="shared" si="3"/>
        <v>0</v>
      </c>
      <c r="AD18" s="25">
        <f t="shared" si="3"/>
        <v>0</v>
      </c>
      <c r="AE18" s="25">
        <f t="shared" si="3"/>
        <v>0</v>
      </c>
      <c r="AF18" s="25">
        <f t="shared" si="3"/>
        <v>0</v>
      </c>
      <c r="AG18" s="25">
        <f t="shared" si="3"/>
        <v>0</v>
      </c>
      <c r="AH18" s="3"/>
      <c r="AI18" s="3"/>
      <c r="AJ18" s="3"/>
      <c r="AK18" s="3"/>
      <c r="AL18" s="3"/>
      <c r="AM18" s="11" t="s">
        <v>30</v>
      </c>
    </row>
    <row r="19">
      <c r="A19" s="15" t="s">
        <v>31</v>
      </c>
      <c r="C19" s="26">
        <f t="shared" ref="C19:AG19" si="4">COUNTIF(C8:C12, TRUE)</f>
        <v>1</v>
      </c>
      <c r="D19" s="26">
        <f t="shared" si="4"/>
        <v>0</v>
      </c>
      <c r="E19" s="26">
        <f t="shared" si="4"/>
        <v>0</v>
      </c>
      <c r="F19" s="26">
        <f t="shared" si="4"/>
        <v>0</v>
      </c>
      <c r="G19" s="26">
        <f t="shared" si="4"/>
        <v>0</v>
      </c>
      <c r="H19" s="26">
        <f t="shared" si="4"/>
        <v>0</v>
      </c>
      <c r="I19" s="26">
        <f t="shared" si="4"/>
        <v>0</v>
      </c>
      <c r="J19" s="26">
        <f t="shared" si="4"/>
        <v>0</v>
      </c>
      <c r="K19" s="26">
        <f t="shared" si="4"/>
        <v>0</v>
      </c>
      <c r="L19" s="26">
        <f t="shared" si="4"/>
        <v>0</v>
      </c>
      <c r="M19" s="26">
        <f t="shared" si="4"/>
        <v>0</v>
      </c>
      <c r="N19" s="26">
        <f t="shared" si="4"/>
        <v>0</v>
      </c>
      <c r="O19" s="26">
        <f t="shared" si="4"/>
        <v>0</v>
      </c>
      <c r="P19" s="26">
        <f t="shared" si="4"/>
        <v>0</v>
      </c>
      <c r="Q19" s="26">
        <f t="shared" si="4"/>
        <v>0</v>
      </c>
      <c r="R19" s="26">
        <f t="shared" si="4"/>
        <v>0</v>
      </c>
      <c r="S19" s="26">
        <f t="shared" si="4"/>
        <v>0</v>
      </c>
      <c r="T19" s="26">
        <f t="shared" si="4"/>
        <v>0</v>
      </c>
      <c r="U19" s="26">
        <f t="shared" si="4"/>
        <v>0</v>
      </c>
      <c r="V19" s="26">
        <f t="shared" si="4"/>
        <v>0</v>
      </c>
      <c r="W19" s="26">
        <f t="shared" si="4"/>
        <v>0</v>
      </c>
      <c r="X19" s="26">
        <f t="shared" si="4"/>
        <v>0</v>
      </c>
      <c r="Y19" s="26">
        <f t="shared" si="4"/>
        <v>0</v>
      </c>
      <c r="Z19" s="26">
        <f t="shared" si="4"/>
        <v>0</v>
      </c>
      <c r="AA19" s="26">
        <f t="shared" si="4"/>
        <v>0</v>
      </c>
      <c r="AB19" s="26">
        <f t="shared" si="4"/>
        <v>0</v>
      </c>
      <c r="AC19" s="26">
        <f t="shared" si="4"/>
        <v>0</v>
      </c>
      <c r="AD19" s="26">
        <f t="shared" si="4"/>
        <v>0</v>
      </c>
      <c r="AE19" s="26">
        <f t="shared" si="4"/>
        <v>0</v>
      </c>
      <c r="AF19" s="26">
        <f t="shared" si="4"/>
        <v>0</v>
      </c>
      <c r="AG19" s="26">
        <f t="shared" si="4"/>
        <v>0</v>
      </c>
      <c r="AH19" s="3"/>
      <c r="AI19" s="3"/>
      <c r="AJ19" s="3"/>
      <c r="AK19" s="3"/>
      <c r="AL19" s="3"/>
      <c r="AM19" s="27" t="s">
        <v>32</v>
      </c>
    </row>
    <row r="20">
      <c r="A20" s="15" t="s">
        <v>33</v>
      </c>
      <c r="C20" s="26">
        <f t="shared" ref="C20:AG20" si="5">COUNTIF(C8:C12, FALSE)</f>
        <v>4</v>
      </c>
      <c r="D20" s="26">
        <f t="shared" si="5"/>
        <v>5</v>
      </c>
      <c r="E20" s="26">
        <f t="shared" si="5"/>
        <v>5</v>
      </c>
      <c r="F20" s="26">
        <f t="shared" si="5"/>
        <v>5</v>
      </c>
      <c r="G20" s="26">
        <f t="shared" si="5"/>
        <v>5</v>
      </c>
      <c r="H20" s="26">
        <f t="shared" si="5"/>
        <v>5</v>
      </c>
      <c r="I20" s="26">
        <f t="shared" si="5"/>
        <v>5</v>
      </c>
      <c r="J20" s="26">
        <f t="shared" si="5"/>
        <v>5</v>
      </c>
      <c r="K20" s="26">
        <f t="shared" si="5"/>
        <v>5</v>
      </c>
      <c r="L20" s="26">
        <f t="shared" si="5"/>
        <v>5</v>
      </c>
      <c r="M20" s="26">
        <f t="shared" si="5"/>
        <v>5</v>
      </c>
      <c r="N20" s="26">
        <f t="shared" si="5"/>
        <v>5</v>
      </c>
      <c r="O20" s="26">
        <f t="shared" si="5"/>
        <v>5</v>
      </c>
      <c r="P20" s="26">
        <f t="shared" si="5"/>
        <v>5</v>
      </c>
      <c r="Q20" s="26">
        <f t="shared" si="5"/>
        <v>5</v>
      </c>
      <c r="R20" s="26">
        <f t="shared" si="5"/>
        <v>5</v>
      </c>
      <c r="S20" s="26">
        <f t="shared" si="5"/>
        <v>5</v>
      </c>
      <c r="T20" s="26">
        <f t="shared" si="5"/>
        <v>5</v>
      </c>
      <c r="U20" s="26">
        <f t="shared" si="5"/>
        <v>5</v>
      </c>
      <c r="V20" s="26">
        <f t="shared" si="5"/>
        <v>5</v>
      </c>
      <c r="W20" s="26">
        <f t="shared" si="5"/>
        <v>5</v>
      </c>
      <c r="X20" s="26">
        <f t="shared" si="5"/>
        <v>5</v>
      </c>
      <c r="Y20" s="26">
        <f t="shared" si="5"/>
        <v>5</v>
      </c>
      <c r="Z20" s="26">
        <f t="shared" si="5"/>
        <v>5</v>
      </c>
      <c r="AA20" s="26">
        <f t="shared" si="5"/>
        <v>5</v>
      </c>
      <c r="AB20" s="26">
        <f t="shared" si="5"/>
        <v>5</v>
      </c>
      <c r="AC20" s="26">
        <f t="shared" si="5"/>
        <v>5</v>
      </c>
      <c r="AD20" s="26">
        <f t="shared" si="5"/>
        <v>5</v>
      </c>
      <c r="AE20" s="26">
        <f t="shared" si="5"/>
        <v>5</v>
      </c>
      <c r="AF20" s="26">
        <f t="shared" si="5"/>
        <v>5</v>
      </c>
      <c r="AG20" s="26">
        <f t="shared" si="5"/>
        <v>5</v>
      </c>
      <c r="AH20" s="3"/>
      <c r="AI20" s="3"/>
      <c r="AJ20" s="3"/>
      <c r="AK20" s="3"/>
      <c r="AL20" s="3"/>
    </row>
    <row r="21">
      <c r="AD21" s="28"/>
      <c r="AE21" s="28"/>
      <c r="AF21" s="28"/>
      <c r="AG21" s="28"/>
      <c r="AH21" s="28"/>
      <c r="AI21" s="3"/>
      <c r="AJ21" s="3"/>
      <c r="AK21" s="3"/>
      <c r="AL21" s="3"/>
    </row>
    <row r="22">
      <c r="AD22" s="28"/>
      <c r="AE22" s="28"/>
      <c r="AF22" s="28"/>
      <c r="AG22" s="28"/>
      <c r="AH22" s="28"/>
      <c r="AI22" s="3"/>
      <c r="AJ22" s="3"/>
      <c r="AK22" s="3"/>
      <c r="AL22" s="3"/>
    </row>
    <row r="23">
      <c r="AI23" s="3"/>
      <c r="AJ23" s="3"/>
      <c r="AK23" s="3"/>
      <c r="AL23" s="3"/>
    </row>
    <row r="24">
      <c r="AI24" s="3"/>
      <c r="AJ24" s="3"/>
      <c r="AK24" s="3"/>
      <c r="AL24" s="3"/>
    </row>
    <row r="25">
      <c r="AI25" s="3"/>
      <c r="AJ25" s="3"/>
      <c r="AK25" s="3"/>
      <c r="AL25" s="3"/>
    </row>
    <row r="26">
      <c r="AD26" s="28"/>
      <c r="AE26" s="28"/>
      <c r="AF26" s="28"/>
      <c r="AG26" s="28"/>
      <c r="AH26" s="28"/>
      <c r="AI26" s="3"/>
      <c r="AJ26" s="3"/>
      <c r="AK26" s="3"/>
      <c r="AL26" s="3"/>
    </row>
    <row r="27"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</row>
    <row r="28"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</row>
    <row r="29">
      <c r="AD29" s="28"/>
      <c r="AE29" s="28"/>
      <c r="AF29" s="28"/>
      <c r="AG29" s="28"/>
      <c r="AH29" s="28"/>
      <c r="AM29" s="28"/>
      <c r="AN29" s="28"/>
      <c r="AO29" s="28"/>
      <c r="AP29" s="28"/>
    </row>
    <row r="30">
      <c r="AM30" s="28"/>
      <c r="AN30" s="28"/>
      <c r="AO30" s="28"/>
      <c r="AP30" s="28"/>
    </row>
    <row r="31">
      <c r="AM31" s="28"/>
      <c r="AN31" s="28"/>
      <c r="AO31" s="28"/>
      <c r="AP31" s="28"/>
    </row>
    <row r="32"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</row>
    <row r="33"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</row>
    <row r="34"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</row>
    <row r="35"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</row>
    <row r="36"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</row>
    <row r="37"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</row>
    <row r="38"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</row>
    <row r="39"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</row>
    <row r="40"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</row>
    <row r="41"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</row>
    <row r="42"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</row>
    <row r="43"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</row>
    <row r="44"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</row>
    <row r="45"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</row>
    <row r="46"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</row>
    <row r="47"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</row>
    <row r="48"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</row>
    <row r="49"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</row>
    <row r="50"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</row>
    <row r="51"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</row>
    <row r="52"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</row>
    <row r="53"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</row>
    <row r="54"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</row>
    <row r="55"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</row>
    <row r="56"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</row>
    <row r="57"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</row>
    <row r="58"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</row>
    <row r="59"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</row>
    <row r="60"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</row>
    <row r="61"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</row>
    <row r="62"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</row>
    <row r="63"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</row>
    <row r="64"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</row>
    <row r="65">
      <c r="J65" s="15" t="s">
        <v>27</v>
      </c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</row>
    <row r="66">
      <c r="J66" s="15" t="s">
        <v>25</v>
      </c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</row>
    <row r="67">
      <c r="J67" s="15" t="s">
        <v>34</v>
      </c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</row>
    <row r="68">
      <c r="J68" s="15" t="s">
        <v>26</v>
      </c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</row>
    <row r="69"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</row>
    <row r="70"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</row>
    <row r="71"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</row>
    <row r="72"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</row>
    <row r="73"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</row>
    <row r="74"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</row>
    <row r="75"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</row>
    <row r="76"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</row>
    <row r="77"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</row>
    <row r="78"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</row>
    <row r="79"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</row>
    <row r="80"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</row>
    <row r="81"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</row>
    <row r="82"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</row>
    <row r="83"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</row>
    <row r="84"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</row>
    <row r="85"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</row>
    <row r="86"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</row>
    <row r="87"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</row>
    <row r="88"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</row>
    <row r="89"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</row>
    <row r="90"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</row>
    <row r="91"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</row>
    <row r="92"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</row>
    <row r="93"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</row>
    <row r="94"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</row>
    <row r="95"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</row>
    <row r="96"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</row>
    <row r="97"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</row>
    <row r="98"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</row>
    <row r="99"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</row>
    <row r="100"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</row>
    <row r="101"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</row>
    <row r="102"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</row>
    <row r="103"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</row>
    <row r="104"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</row>
    <row r="105"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</row>
    <row r="106"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</row>
    <row r="107"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</row>
    <row r="108"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</row>
    <row r="109"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</row>
    <row r="110"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</row>
    <row r="111"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</row>
    <row r="112"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</row>
    <row r="113"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</row>
    <row r="114"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</row>
    <row r="115"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</row>
    <row r="116"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</row>
    <row r="117"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</row>
    <row r="118"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</row>
    <row r="119"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</row>
    <row r="120"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</row>
    <row r="121"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</row>
    <row r="122"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</row>
    <row r="123"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</row>
    <row r="124"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</row>
    <row r="125"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</row>
    <row r="126"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</row>
    <row r="127"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</row>
    <row r="128"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</row>
    <row r="129"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</row>
    <row r="130"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</row>
    <row r="131"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</row>
    <row r="132"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</row>
    <row r="133"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</row>
    <row r="134"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</row>
    <row r="135"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</row>
    <row r="136"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</row>
    <row r="137"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</row>
    <row r="138"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</row>
    <row r="139"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</row>
    <row r="140"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</row>
    <row r="141"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</row>
    <row r="142"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</row>
    <row r="143"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</row>
    <row r="144"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</row>
    <row r="145"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</row>
    <row r="146"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</row>
    <row r="147"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</row>
    <row r="148"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</row>
    <row r="149"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</row>
    <row r="150"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</row>
    <row r="151"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</row>
    <row r="152"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</row>
    <row r="153"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</row>
    <row r="154"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</row>
    <row r="155"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</row>
    <row r="156"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</row>
    <row r="157"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</row>
    <row r="158"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</row>
    <row r="159"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</row>
    <row r="160"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</row>
    <row r="161"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</row>
    <row r="162"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</row>
    <row r="163"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</row>
    <row r="164"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</row>
    <row r="165"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</row>
    <row r="166"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</row>
    <row r="167"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</row>
    <row r="168"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</row>
    <row r="169"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</row>
    <row r="170"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</row>
    <row r="171"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</row>
    <row r="172"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</row>
    <row r="173"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</row>
    <row r="174"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</row>
    <row r="175"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</row>
    <row r="176"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</row>
    <row r="177"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</row>
    <row r="178"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</row>
    <row r="179"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</row>
    <row r="180"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</row>
    <row r="181"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</row>
    <row r="182"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</row>
    <row r="183"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</row>
    <row r="184"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</row>
    <row r="185"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</row>
    <row r="186"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</row>
    <row r="187"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</row>
    <row r="188"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</row>
    <row r="189"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</row>
    <row r="190"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</row>
    <row r="191"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</row>
    <row r="192"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</row>
    <row r="193"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</row>
    <row r="194"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</row>
    <row r="195"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</row>
    <row r="196"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</row>
    <row r="197"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</row>
    <row r="198"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</row>
    <row r="199"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</row>
    <row r="200"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</row>
    <row r="201"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</row>
    <row r="202"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</row>
    <row r="203"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</row>
    <row r="204"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</row>
    <row r="205"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</row>
    <row r="206"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</row>
    <row r="207"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</row>
    <row r="208"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</row>
    <row r="209"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</row>
    <row r="210"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</row>
    <row r="211"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</row>
    <row r="212"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</row>
    <row r="213"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</row>
    <row r="214"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</row>
    <row r="215"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</row>
    <row r="216"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</row>
    <row r="217"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</row>
    <row r="218"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</row>
    <row r="219"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</row>
    <row r="220"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</row>
    <row r="221"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</row>
    <row r="222"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</row>
    <row r="223"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</row>
    <row r="224"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</row>
    <row r="225"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</row>
    <row r="226"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</row>
    <row r="227"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</row>
    <row r="228"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</row>
    <row r="229"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</row>
    <row r="230"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</row>
    <row r="231"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</row>
    <row r="232"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</row>
    <row r="233"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</row>
    <row r="234"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</row>
    <row r="235"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</row>
    <row r="236"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</row>
    <row r="237"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</row>
    <row r="238"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</row>
    <row r="239"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</row>
    <row r="240"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</row>
    <row r="241"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</row>
    <row r="242"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</row>
    <row r="243"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</row>
    <row r="244"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</row>
    <row r="245"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</row>
    <row r="246"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</row>
    <row r="247"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</row>
    <row r="248"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</row>
    <row r="249"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</row>
    <row r="250"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</row>
    <row r="251"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</row>
    <row r="252"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</row>
    <row r="253"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</row>
    <row r="254"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</row>
    <row r="255"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</row>
    <row r="256"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</row>
    <row r="257"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</row>
    <row r="258"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</row>
    <row r="259"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</row>
    <row r="260"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</row>
    <row r="261"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</row>
    <row r="262"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</row>
    <row r="263"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</row>
    <row r="264"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</row>
    <row r="265"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</row>
    <row r="266"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</row>
    <row r="267"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</row>
    <row r="268"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</row>
    <row r="269"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</row>
    <row r="270"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</row>
    <row r="271"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</row>
    <row r="272"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</row>
    <row r="273"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</row>
    <row r="274"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</row>
    <row r="275"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</row>
    <row r="276"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</row>
    <row r="277"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</row>
    <row r="278"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</row>
    <row r="279"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</row>
    <row r="280"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</row>
    <row r="281"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</row>
    <row r="282"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</row>
    <row r="283"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</row>
    <row r="284"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</row>
    <row r="285"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</row>
    <row r="286"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</row>
    <row r="287"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</row>
    <row r="288"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</row>
    <row r="289"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</row>
    <row r="290"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</row>
    <row r="291"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</row>
    <row r="292"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</row>
    <row r="293"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</row>
    <row r="294"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</row>
    <row r="295"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</row>
    <row r="296"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</row>
    <row r="297"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</row>
    <row r="298"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</row>
    <row r="299"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</row>
    <row r="300"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</row>
    <row r="301"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</row>
    <row r="302"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</row>
    <row r="303"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</row>
    <row r="304"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</row>
    <row r="305"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</row>
    <row r="306"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</row>
    <row r="307"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</row>
    <row r="308"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</row>
    <row r="309"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</row>
    <row r="310"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</row>
    <row r="311"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</row>
    <row r="312"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</row>
    <row r="313"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</row>
    <row r="314"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</row>
    <row r="315"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</row>
    <row r="316"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</row>
    <row r="317"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</row>
    <row r="318"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</row>
    <row r="319"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</row>
    <row r="320"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</row>
    <row r="321"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</row>
    <row r="322"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</row>
    <row r="323"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</row>
    <row r="324"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</row>
    <row r="325"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</row>
    <row r="326"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</row>
    <row r="327"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</row>
    <row r="328"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</row>
    <row r="329"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</row>
    <row r="330"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</row>
    <row r="331"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</row>
    <row r="332"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</row>
    <row r="333"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</row>
    <row r="334"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</row>
    <row r="335"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</row>
    <row r="336"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</row>
    <row r="337"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</row>
    <row r="338"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</row>
    <row r="339"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</row>
    <row r="340"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</row>
    <row r="341"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</row>
    <row r="342"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</row>
    <row r="343"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</row>
    <row r="344"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</row>
    <row r="345"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</row>
    <row r="346"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</row>
    <row r="347"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</row>
    <row r="348"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</row>
    <row r="349"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</row>
    <row r="350"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</row>
    <row r="351"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</row>
    <row r="352"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</row>
    <row r="353"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</row>
    <row r="354"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</row>
    <row r="355"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</row>
    <row r="356"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</row>
    <row r="357"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</row>
    <row r="358"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</row>
    <row r="359"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</row>
    <row r="360"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</row>
    <row r="361"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</row>
    <row r="362"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</row>
    <row r="363"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</row>
    <row r="364"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</row>
    <row r="365"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</row>
    <row r="366"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</row>
    <row r="367"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</row>
    <row r="368"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</row>
    <row r="369"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</row>
    <row r="370"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</row>
    <row r="371"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</row>
    <row r="372"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</row>
    <row r="373"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</row>
    <row r="374"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</row>
    <row r="375"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</row>
    <row r="376"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</row>
    <row r="377"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</row>
    <row r="378"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</row>
    <row r="379"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</row>
    <row r="380"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</row>
    <row r="381"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</row>
    <row r="382"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</row>
    <row r="383"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</row>
    <row r="384"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</row>
    <row r="385"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</row>
    <row r="386"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</row>
    <row r="387"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</row>
    <row r="388"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</row>
    <row r="389"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</row>
    <row r="390"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</row>
    <row r="391"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</row>
    <row r="392"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</row>
    <row r="393"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</row>
    <row r="394"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</row>
    <row r="395"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</row>
    <row r="396"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</row>
    <row r="397"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</row>
    <row r="398"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</row>
    <row r="399"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</row>
    <row r="400"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</row>
    <row r="401"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</row>
    <row r="402"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</row>
    <row r="403"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</row>
    <row r="404"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</row>
    <row r="405"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</row>
    <row r="406"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</row>
    <row r="407"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</row>
    <row r="408"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</row>
    <row r="409"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</row>
    <row r="410"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</row>
    <row r="411"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</row>
    <row r="412"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</row>
    <row r="413"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</row>
    <row r="414"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</row>
    <row r="415"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</row>
    <row r="416"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</row>
    <row r="417"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</row>
    <row r="418"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</row>
    <row r="419"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</row>
    <row r="420"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</row>
    <row r="421"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</row>
    <row r="422"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</row>
    <row r="423"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</row>
    <row r="424"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</row>
    <row r="425"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</row>
    <row r="426"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</row>
    <row r="427"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</row>
    <row r="428"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</row>
    <row r="429"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</row>
    <row r="430"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</row>
    <row r="431"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</row>
    <row r="432"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</row>
    <row r="433"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</row>
    <row r="434"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</row>
    <row r="435"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</row>
    <row r="436"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</row>
    <row r="437"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</row>
    <row r="438"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</row>
    <row r="439"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</row>
    <row r="440"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</row>
    <row r="441"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</row>
    <row r="442"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</row>
    <row r="443"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</row>
    <row r="444"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</row>
    <row r="445"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</row>
    <row r="446"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</row>
    <row r="447"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</row>
    <row r="448"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</row>
    <row r="449"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</row>
    <row r="450"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</row>
    <row r="451"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</row>
    <row r="452"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</row>
    <row r="453"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</row>
    <row r="454"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</row>
    <row r="455"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</row>
    <row r="456"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</row>
    <row r="457"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</row>
    <row r="458"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</row>
    <row r="459"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</row>
    <row r="460"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</row>
    <row r="461"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</row>
    <row r="462"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</row>
    <row r="463"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</row>
    <row r="464"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</row>
    <row r="465"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</row>
    <row r="466"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</row>
    <row r="467"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</row>
    <row r="468"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</row>
    <row r="469"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</row>
    <row r="470"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</row>
    <row r="471"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</row>
    <row r="472"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</row>
    <row r="473"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</row>
    <row r="474"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</row>
    <row r="475"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</row>
    <row r="476"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</row>
    <row r="477"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</row>
    <row r="478"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</row>
    <row r="479"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</row>
    <row r="480"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</row>
    <row r="481"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</row>
    <row r="482"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</row>
    <row r="483"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</row>
    <row r="484"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</row>
    <row r="485"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</row>
    <row r="486"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</row>
    <row r="487"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</row>
    <row r="488"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</row>
    <row r="489"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</row>
    <row r="490"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</row>
    <row r="491"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</row>
    <row r="492"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</row>
    <row r="493"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</row>
    <row r="494"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</row>
    <row r="495"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</row>
    <row r="496"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</row>
    <row r="497"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</row>
    <row r="498"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</row>
    <row r="499"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</row>
    <row r="500"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</row>
    <row r="501"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</row>
    <row r="502"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</row>
    <row r="503"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</row>
    <row r="504"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</row>
    <row r="505"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</row>
    <row r="506"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</row>
    <row r="507"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</row>
    <row r="508"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</row>
    <row r="509"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</row>
    <row r="510"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</row>
    <row r="511"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</row>
    <row r="512"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</row>
    <row r="513"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</row>
    <row r="514"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</row>
    <row r="515"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</row>
    <row r="516"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</row>
    <row r="517"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</row>
    <row r="518"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</row>
    <row r="519"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</row>
    <row r="520"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</row>
    <row r="521"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</row>
    <row r="522"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</row>
    <row r="523"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</row>
    <row r="524"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</row>
    <row r="525"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</row>
    <row r="526"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</row>
    <row r="527"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</row>
    <row r="528"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</row>
    <row r="529"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</row>
    <row r="530"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</row>
    <row r="531"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</row>
    <row r="532"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</row>
    <row r="533"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</row>
    <row r="534"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</row>
    <row r="535"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</row>
    <row r="536"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</row>
    <row r="537"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</row>
    <row r="538"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</row>
    <row r="539"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</row>
    <row r="540"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</row>
    <row r="541"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</row>
    <row r="542"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</row>
    <row r="543"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</row>
    <row r="544"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</row>
    <row r="545"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</row>
    <row r="546"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</row>
    <row r="547"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</row>
    <row r="548"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</row>
    <row r="549"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</row>
    <row r="550"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</row>
    <row r="551"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</row>
    <row r="552"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</row>
    <row r="553"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</row>
    <row r="554"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</row>
    <row r="555"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</row>
    <row r="556"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</row>
    <row r="557"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</row>
    <row r="558"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</row>
    <row r="559"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</row>
    <row r="560"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</row>
    <row r="561"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</row>
    <row r="562"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</row>
    <row r="563"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</row>
    <row r="564"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</row>
    <row r="565"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</row>
    <row r="566"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</row>
    <row r="567"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</row>
    <row r="568"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</row>
    <row r="569"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</row>
    <row r="570"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</row>
    <row r="571"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</row>
    <row r="572"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</row>
    <row r="573"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</row>
    <row r="574"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</row>
    <row r="575"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</row>
    <row r="576"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</row>
    <row r="577"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</row>
    <row r="578"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</row>
    <row r="579"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</row>
    <row r="580"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</row>
    <row r="581"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</row>
    <row r="582"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</row>
    <row r="583"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</row>
    <row r="584"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</row>
    <row r="585"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</row>
    <row r="586"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</row>
    <row r="587"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</row>
    <row r="588"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</row>
    <row r="589"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</row>
    <row r="590"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</row>
    <row r="591"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</row>
    <row r="592"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</row>
    <row r="593"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</row>
    <row r="594"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</row>
    <row r="595"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</row>
    <row r="596"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</row>
    <row r="597"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</row>
    <row r="598"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</row>
    <row r="599"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</row>
    <row r="600"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</row>
    <row r="601"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</row>
    <row r="602"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</row>
    <row r="603"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</row>
    <row r="604"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</row>
    <row r="605"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</row>
    <row r="606"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</row>
    <row r="607"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</row>
    <row r="608"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</row>
    <row r="609"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</row>
    <row r="610"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</row>
    <row r="611"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</row>
    <row r="612"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</row>
    <row r="613"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</row>
    <row r="614"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</row>
    <row r="615"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</row>
    <row r="616"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</row>
    <row r="617"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</row>
    <row r="618"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</row>
    <row r="619"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</row>
    <row r="620"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</row>
    <row r="621"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</row>
    <row r="622"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</row>
    <row r="623"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</row>
    <row r="624"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</row>
    <row r="625"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</row>
    <row r="626"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</row>
    <row r="627"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</row>
    <row r="628"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</row>
    <row r="629"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</row>
    <row r="630"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</row>
    <row r="631"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</row>
    <row r="632"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</row>
    <row r="633"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</row>
    <row r="634"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</row>
    <row r="635"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</row>
    <row r="636"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</row>
    <row r="637"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</row>
    <row r="638"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</row>
    <row r="639"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</row>
    <row r="640"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</row>
    <row r="641"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</row>
    <row r="642"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</row>
    <row r="643"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</row>
    <row r="644"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</row>
    <row r="645"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</row>
    <row r="646"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</row>
    <row r="647"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</row>
    <row r="648"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</row>
    <row r="649"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</row>
    <row r="650"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</row>
    <row r="651"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</row>
    <row r="652"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</row>
    <row r="653"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</row>
    <row r="654"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</row>
    <row r="655"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</row>
    <row r="656"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</row>
    <row r="657"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</row>
    <row r="658"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</row>
    <row r="659"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</row>
    <row r="660"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</row>
    <row r="661"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</row>
    <row r="662"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</row>
    <row r="663"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</row>
    <row r="664"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</row>
    <row r="665"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</row>
    <row r="666"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</row>
    <row r="667"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</row>
    <row r="668"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</row>
    <row r="669"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</row>
    <row r="670"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</row>
    <row r="671"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</row>
    <row r="672"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</row>
    <row r="673"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</row>
    <row r="674"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</row>
    <row r="675"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</row>
    <row r="676"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</row>
    <row r="677"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</row>
    <row r="678"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</row>
    <row r="679"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</row>
    <row r="680"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</row>
    <row r="681"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</row>
    <row r="682"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</row>
    <row r="683"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</row>
    <row r="684"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</row>
    <row r="685"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</row>
    <row r="686"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</row>
    <row r="687"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</row>
    <row r="688"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</row>
    <row r="689"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</row>
    <row r="690"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</row>
    <row r="691"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</row>
    <row r="692"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</row>
    <row r="693"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</row>
    <row r="694"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</row>
    <row r="695"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</row>
    <row r="696"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</row>
    <row r="697"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</row>
    <row r="698"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</row>
    <row r="699"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</row>
    <row r="700"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</row>
    <row r="701"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</row>
    <row r="702"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</row>
    <row r="703"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</row>
    <row r="704"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</row>
    <row r="705"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</row>
    <row r="706"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</row>
    <row r="707"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</row>
    <row r="708"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</row>
    <row r="709"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</row>
    <row r="710"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</row>
    <row r="711"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</row>
    <row r="712"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</row>
    <row r="713"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</row>
    <row r="714"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</row>
    <row r="715"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</row>
    <row r="716"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</row>
    <row r="717"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</row>
    <row r="718"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</row>
    <row r="719"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</row>
    <row r="720"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</row>
    <row r="721"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</row>
    <row r="722"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</row>
    <row r="723"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</row>
    <row r="724"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</row>
    <row r="725"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</row>
    <row r="726"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</row>
    <row r="727"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</row>
    <row r="728"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</row>
    <row r="729"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</row>
    <row r="730"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</row>
    <row r="731"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</row>
    <row r="732"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</row>
    <row r="733"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</row>
    <row r="734"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</row>
    <row r="735"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</row>
    <row r="736"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</row>
    <row r="737"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</row>
    <row r="738"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</row>
    <row r="739"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</row>
    <row r="740"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</row>
    <row r="741"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</row>
    <row r="742"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</row>
    <row r="743"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</row>
    <row r="744"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</row>
    <row r="745"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</row>
    <row r="746"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</row>
    <row r="747"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</row>
    <row r="748"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</row>
    <row r="749"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</row>
    <row r="750"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</row>
    <row r="751"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</row>
    <row r="752"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</row>
    <row r="753"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</row>
    <row r="754"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</row>
    <row r="755"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</row>
    <row r="756"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</row>
    <row r="757"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</row>
    <row r="758"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</row>
    <row r="759"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</row>
    <row r="760"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</row>
    <row r="761"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</row>
    <row r="762"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</row>
    <row r="763"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</row>
    <row r="764"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</row>
    <row r="765"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</row>
    <row r="766"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</row>
    <row r="767"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</row>
    <row r="768"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</row>
    <row r="769"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</row>
    <row r="770"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</row>
    <row r="771"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</row>
    <row r="772"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</row>
    <row r="773"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</row>
    <row r="774"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</row>
    <row r="775"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</row>
    <row r="776"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</row>
    <row r="777"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</row>
    <row r="778"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</row>
    <row r="779"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</row>
    <row r="780"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</row>
    <row r="781"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</row>
    <row r="782"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</row>
    <row r="783"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</row>
    <row r="784"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</row>
    <row r="785"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</row>
    <row r="786"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</row>
    <row r="787"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</row>
    <row r="788"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</row>
    <row r="789"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</row>
    <row r="790"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</row>
    <row r="791"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</row>
    <row r="792"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</row>
    <row r="793"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</row>
    <row r="794"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</row>
    <row r="795"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</row>
    <row r="796"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</row>
    <row r="797"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</row>
    <row r="798"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</row>
    <row r="799"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</row>
    <row r="800"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</row>
    <row r="801"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</row>
    <row r="802"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</row>
    <row r="803"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</row>
    <row r="804"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</row>
    <row r="805"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</row>
    <row r="806"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</row>
    <row r="807"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</row>
    <row r="808"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</row>
    <row r="809"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</row>
    <row r="810"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</row>
    <row r="811"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</row>
    <row r="812"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</row>
    <row r="813"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</row>
    <row r="814"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</row>
    <row r="815"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</row>
    <row r="816"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</row>
    <row r="817"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</row>
    <row r="818"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</row>
    <row r="819"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</row>
    <row r="820"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</row>
    <row r="821"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</row>
    <row r="822"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</row>
    <row r="823"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</row>
    <row r="824"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</row>
    <row r="825"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</row>
    <row r="826"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</row>
    <row r="827"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</row>
    <row r="828"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</row>
    <row r="829"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</row>
    <row r="830"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</row>
    <row r="831"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</row>
    <row r="832"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</row>
    <row r="833"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</row>
    <row r="834"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</row>
    <row r="835"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</row>
    <row r="836"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</row>
    <row r="837"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</row>
    <row r="838"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</row>
    <row r="839"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</row>
    <row r="840"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</row>
    <row r="841"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</row>
    <row r="842"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</row>
    <row r="843"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</row>
    <row r="844"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</row>
    <row r="845"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</row>
    <row r="846"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</row>
    <row r="847"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</row>
    <row r="848"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</row>
    <row r="849"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</row>
    <row r="850"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</row>
    <row r="851"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</row>
    <row r="852"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</row>
    <row r="853"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</row>
    <row r="854"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</row>
    <row r="855"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</row>
    <row r="856"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</row>
    <row r="857"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</row>
    <row r="858"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</row>
    <row r="859"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</row>
    <row r="860"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</row>
    <row r="861"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</row>
    <row r="862"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</row>
    <row r="863"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</row>
    <row r="864"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</row>
    <row r="865"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</row>
    <row r="866"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</row>
    <row r="867"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</row>
    <row r="868"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</row>
    <row r="869"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</row>
    <row r="870"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</row>
    <row r="871"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</row>
    <row r="872"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</row>
    <row r="873"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</row>
    <row r="874"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</row>
    <row r="875"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</row>
    <row r="876"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</row>
    <row r="877"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</row>
    <row r="878"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</row>
    <row r="879"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</row>
    <row r="880"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</row>
    <row r="881"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</row>
    <row r="882"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</row>
    <row r="883"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</row>
    <row r="884"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</row>
    <row r="885"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</row>
    <row r="886"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</row>
    <row r="887"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</row>
    <row r="888"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</row>
    <row r="889"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</row>
    <row r="890"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</row>
    <row r="891"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</row>
    <row r="892"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</row>
    <row r="893"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</row>
    <row r="894"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</row>
    <row r="895"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</row>
    <row r="896"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</row>
    <row r="897"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</row>
    <row r="898"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</row>
    <row r="899"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</row>
    <row r="900"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</row>
    <row r="901"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</row>
    <row r="902"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</row>
    <row r="903"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</row>
    <row r="904"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</row>
    <row r="905"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</row>
    <row r="906"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</row>
    <row r="907"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</row>
    <row r="908"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</row>
    <row r="909"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</row>
    <row r="910"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</row>
    <row r="911"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</row>
    <row r="912"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</row>
    <row r="913"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</row>
    <row r="914"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</row>
    <row r="915"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</row>
    <row r="916"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</row>
    <row r="917"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</row>
    <row r="918"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</row>
    <row r="919"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</row>
    <row r="920"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</row>
    <row r="921"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</row>
    <row r="922"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</row>
    <row r="923"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</row>
    <row r="924"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</row>
    <row r="925"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</row>
    <row r="926"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</row>
    <row r="927"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</row>
    <row r="928"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</row>
    <row r="929"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</row>
    <row r="930"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</row>
    <row r="931"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</row>
    <row r="932"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</row>
    <row r="933"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</row>
    <row r="934"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</row>
    <row r="935"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</row>
    <row r="936"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</row>
    <row r="937"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</row>
    <row r="938"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</row>
    <row r="939"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</row>
    <row r="940"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</row>
    <row r="941"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</row>
    <row r="942"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</row>
    <row r="943"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</row>
    <row r="944"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</row>
    <row r="945"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</row>
    <row r="946"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</row>
    <row r="947"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</row>
    <row r="948"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</row>
    <row r="949"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</row>
    <row r="950"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</row>
    <row r="951"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</row>
    <row r="952"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</row>
    <row r="953"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</row>
    <row r="954"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</row>
    <row r="955"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</row>
    <row r="956"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</row>
    <row r="957"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</row>
    <row r="958"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</row>
    <row r="959"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</row>
    <row r="960"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</row>
    <row r="961"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</row>
    <row r="962"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</row>
    <row r="963"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</row>
    <row r="964"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</row>
    <row r="965"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</row>
    <row r="966"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</row>
    <row r="967"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</row>
    <row r="968"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</row>
    <row r="969"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</row>
    <row r="970"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</row>
    <row r="971"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</row>
    <row r="972"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</row>
    <row r="973"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</row>
    <row r="974"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</row>
    <row r="975"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</row>
    <row r="976"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</row>
    <row r="977"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</row>
    <row r="978"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</row>
    <row r="979"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</row>
    <row r="980"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</row>
    <row r="981"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</row>
    <row r="982"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</row>
    <row r="983"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</row>
    <row r="984"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</row>
    <row r="985"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</row>
    <row r="986"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</row>
    <row r="987"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</row>
    <row r="988"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</row>
    <row r="989"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</row>
    <row r="990"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</row>
    <row r="991"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</row>
    <row r="992"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</row>
    <row r="993"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</row>
    <row r="994"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</row>
    <row r="995"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</row>
    <row r="996"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</row>
    <row r="997"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</row>
    <row r="998"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</row>
    <row r="999"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</row>
    <row r="1000"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</row>
    <row r="1001">
      <c r="AD1001" s="28"/>
      <c r="AE1001" s="28"/>
      <c r="AF1001" s="28"/>
      <c r="AG1001" s="28"/>
      <c r="AH1001" s="28"/>
      <c r="AI1001" s="28"/>
      <c r="AJ1001" s="28"/>
      <c r="AK1001" s="28"/>
      <c r="AL1001" s="28"/>
      <c r="AM1001" s="28"/>
      <c r="AN1001" s="28"/>
      <c r="AO1001" s="28"/>
      <c r="AP1001" s="28"/>
    </row>
    <row r="1002">
      <c r="AD1002" s="28"/>
      <c r="AE1002" s="28"/>
      <c r="AF1002" s="28"/>
      <c r="AG1002" s="28"/>
      <c r="AH1002" s="28"/>
      <c r="AI1002" s="28"/>
      <c r="AJ1002" s="28"/>
      <c r="AK1002" s="28"/>
      <c r="AL1002" s="28"/>
      <c r="AM1002" s="28"/>
      <c r="AN1002" s="28"/>
      <c r="AO1002" s="28"/>
      <c r="AP1002" s="28"/>
    </row>
  </sheetData>
  <mergeCells count="23">
    <mergeCell ref="W2:AC2"/>
    <mergeCell ref="AD2:AG2"/>
    <mergeCell ref="A1:H3"/>
    <mergeCell ref="I1:N1"/>
    <mergeCell ref="O1:V1"/>
    <mergeCell ref="W1:AC1"/>
    <mergeCell ref="AD1:AG1"/>
    <mergeCell ref="I2:N2"/>
    <mergeCell ref="O2:V2"/>
    <mergeCell ref="AE5:AK5"/>
    <mergeCell ref="AM5:AP6"/>
    <mergeCell ref="AM19:AP26"/>
    <mergeCell ref="A18:B18"/>
    <mergeCell ref="AM18:AP18"/>
    <mergeCell ref="A19:B19"/>
    <mergeCell ref="A20:B20"/>
    <mergeCell ref="I3:AG3"/>
    <mergeCell ref="A4:AG4"/>
    <mergeCell ref="A5:B7"/>
    <mergeCell ref="C5:I5"/>
    <mergeCell ref="J5:P5"/>
    <mergeCell ref="Q5:W5"/>
    <mergeCell ref="X5:AD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26.25"/>
    <col customWidth="1" min="3" max="22" width="4.13"/>
    <col customWidth="1" min="23" max="23" width="4.5"/>
    <col customWidth="1" min="24" max="35" width="4.13"/>
    <col customWidth="1" min="36" max="36" width="5.38"/>
    <col customWidth="1" min="37" max="37" width="3.75"/>
    <col customWidth="1" min="38" max="38" width="5.25"/>
    <col customWidth="1" min="39" max="39" width="4.5"/>
    <col customWidth="1" min="40" max="40" width="4.75"/>
    <col customWidth="1" min="41" max="41" width="6.88"/>
    <col customWidth="1" min="42" max="42" width="13.25"/>
  </cols>
  <sheetData>
    <row r="1" ht="36.75" customHeight="1">
      <c r="A1" s="1" t="s">
        <v>0</v>
      </c>
      <c r="I1" s="2" t="s">
        <v>1</v>
      </c>
      <c r="O1" s="2" t="s">
        <v>2</v>
      </c>
      <c r="W1" s="2" t="s">
        <v>3</v>
      </c>
      <c r="AD1" s="2" t="s">
        <v>4</v>
      </c>
      <c r="AH1" s="3"/>
      <c r="AI1" s="3"/>
      <c r="AJ1" s="3"/>
      <c r="AK1" s="3"/>
      <c r="AL1" s="3"/>
    </row>
    <row r="2">
      <c r="I2" s="2">
        <v>8.0</v>
      </c>
      <c r="O2" s="4">
        <f>COUNTIF(C8:AG12, TRUE)</f>
        <v>1</v>
      </c>
      <c r="W2" s="5" t="str">
        <f>IFERROR(__xludf.DUMMYFUNCTION("SPARKLINE(AD2, {""charttype"",""bar""; ""max"",1;""color1"",""green""; ""empty"",""zero""})"),"")</f>
        <v/>
      </c>
      <c r="X2" s="6"/>
      <c r="Y2" s="6"/>
      <c r="Z2" s="6"/>
      <c r="AA2" s="6"/>
      <c r="AB2" s="6"/>
      <c r="AC2" s="7"/>
      <c r="AD2" s="8">
        <f>SUM(O2) / (COUNTA(C8:AG8) * ROWS(C8:AG15))</f>
        <v>0.004032258065</v>
      </c>
      <c r="AH2" s="3"/>
      <c r="AI2" s="3"/>
      <c r="AJ2" s="3"/>
      <c r="AK2" s="3"/>
      <c r="AL2" s="3"/>
    </row>
    <row r="3">
      <c r="I3" s="9"/>
      <c r="AH3" s="3"/>
      <c r="AI3" s="3"/>
      <c r="AJ3" s="3"/>
      <c r="AK3" s="3"/>
      <c r="AL3" s="3"/>
    </row>
    <row r="4">
      <c r="A4" s="10"/>
      <c r="AH4" s="3"/>
      <c r="AI4" s="3"/>
      <c r="AJ4" s="3"/>
      <c r="AK4" s="3"/>
      <c r="AL4" s="3"/>
      <c r="AM4" s="3"/>
      <c r="AN4" s="3"/>
      <c r="AO4" s="3"/>
      <c r="AP4" s="3"/>
    </row>
    <row r="5">
      <c r="A5" s="11" t="s">
        <v>5</v>
      </c>
      <c r="C5" s="12" t="s">
        <v>6</v>
      </c>
      <c r="J5" s="11" t="s">
        <v>7</v>
      </c>
      <c r="Q5" s="12" t="s">
        <v>8</v>
      </c>
      <c r="X5" s="11" t="s">
        <v>9</v>
      </c>
      <c r="AE5" s="12" t="s">
        <v>10</v>
      </c>
      <c r="AM5" s="13" t="s">
        <v>11</v>
      </c>
    </row>
    <row r="6"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2" t="s">
        <v>17</v>
      </c>
      <c r="I6" s="12" t="s">
        <v>18</v>
      </c>
      <c r="J6" s="11" t="s">
        <v>12</v>
      </c>
      <c r="K6" s="11" t="s">
        <v>13</v>
      </c>
      <c r="L6" s="11" t="s">
        <v>14</v>
      </c>
      <c r="M6" s="11" t="s">
        <v>15</v>
      </c>
      <c r="N6" s="11" t="s">
        <v>16</v>
      </c>
      <c r="O6" s="11" t="s">
        <v>17</v>
      </c>
      <c r="P6" s="11" t="s">
        <v>18</v>
      </c>
      <c r="Q6" s="12" t="s">
        <v>12</v>
      </c>
      <c r="R6" s="12" t="s">
        <v>13</v>
      </c>
      <c r="S6" s="12" t="s">
        <v>14</v>
      </c>
      <c r="T6" s="12" t="s">
        <v>15</v>
      </c>
      <c r="U6" s="12" t="s">
        <v>16</v>
      </c>
      <c r="V6" s="12" t="s">
        <v>17</v>
      </c>
      <c r="W6" s="12" t="s">
        <v>18</v>
      </c>
      <c r="X6" s="11" t="s">
        <v>12</v>
      </c>
      <c r="Y6" s="11" t="s">
        <v>13</v>
      </c>
      <c r="Z6" s="11" t="s">
        <v>14</v>
      </c>
      <c r="AA6" s="11" t="s">
        <v>15</v>
      </c>
      <c r="AB6" s="11" t="s">
        <v>16</v>
      </c>
      <c r="AC6" s="11" t="s">
        <v>17</v>
      </c>
      <c r="AD6" s="11" t="s">
        <v>18</v>
      </c>
      <c r="AE6" s="12" t="s">
        <v>12</v>
      </c>
      <c r="AF6" s="12" t="s">
        <v>13</v>
      </c>
      <c r="AG6" s="12" t="s">
        <v>14</v>
      </c>
      <c r="AH6" s="12" t="s">
        <v>15</v>
      </c>
      <c r="AI6" s="12" t="s">
        <v>16</v>
      </c>
      <c r="AJ6" s="12" t="s">
        <v>17</v>
      </c>
      <c r="AK6" s="12" t="s">
        <v>18</v>
      </c>
      <c r="AL6" s="3"/>
    </row>
    <row r="7">
      <c r="C7" s="12">
        <v>1.0</v>
      </c>
      <c r="D7" s="12">
        <v>2.0</v>
      </c>
      <c r="E7" s="12">
        <v>3.0</v>
      </c>
      <c r="F7" s="12">
        <v>4.0</v>
      </c>
      <c r="G7" s="12">
        <v>5.0</v>
      </c>
      <c r="H7" s="12">
        <v>6.0</v>
      </c>
      <c r="I7" s="12">
        <v>7.0</v>
      </c>
      <c r="J7" s="11">
        <v>8.0</v>
      </c>
      <c r="K7" s="11">
        <v>9.0</v>
      </c>
      <c r="L7" s="11">
        <v>10.0</v>
      </c>
      <c r="M7" s="11">
        <v>11.0</v>
      </c>
      <c r="N7" s="11">
        <v>12.0</v>
      </c>
      <c r="O7" s="11">
        <v>13.0</v>
      </c>
      <c r="P7" s="11">
        <v>14.0</v>
      </c>
      <c r="Q7" s="12">
        <v>15.0</v>
      </c>
      <c r="R7" s="12">
        <v>16.0</v>
      </c>
      <c r="S7" s="12">
        <v>17.0</v>
      </c>
      <c r="T7" s="12">
        <v>18.0</v>
      </c>
      <c r="U7" s="12">
        <v>19.0</v>
      </c>
      <c r="V7" s="12">
        <v>20.0</v>
      </c>
      <c r="W7" s="12">
        <v>21.0</v>
      </c>
      <c r="X7" s="11">
        <v>22.0</v>
      </c>
      <c r="Y7" s="11">
        <v>23.0</v>
      </c>
      <c r="Z7" s="11">
        <v>24.0</v>
      </c>
      <c r="AA7" s="11">
        <v>25.0</v>
      </c>
      <c r="AB7" s="11">
        <v>26.0</v>
      </c>
      <c r="AC7" s="11">
        <v>27.0</v>
      </c>
      <c r="AD7" s="11">
        <v>28.0</v>
      </c>
      <c r="AE7" s="12">
        <v>29.0</v>
      </c>
      <c r="AF7" s="12">
        <v>30.0</v>
      </c>
      <c r="AG7" s="12">
        <v>31.0</v>
      </c>
      <c r="AH7" s="12">
        <v>1.0</v>
      </c>
      <c r="AI7" s="12">
        <v>2.0</v>
      </c>
      <c r="AJ7" s="12">
        <v>3.0</v>
      </c>
      <c r="AK7" s="12">
        <v>4.0</v>
      </c>
      <c r="AL7" s="3"/>
      <c r="AM7" s="14" t="s">
        <v>19</v>
      </c>
      <c r="AN7" s="14" t="s">
        <v>20</v>
      </c>
      <c r="AO7" s="14" t="s">
        <v>21</v>
      </c>
      <c r="AP7" s="14" t="s">
        <v>3</v>
      </c>
    </row>
    <row r="8">
      <c r="A8" s="15">
        <v>1.0</v>
      </c>
      <c r="B8" s="15" t="s">
        <v>22</v>
      </c>
      <c r="C8" s="16" t="b">
        <v>1</v>
      </c>
      <c r="D8" s="16" t="b">
        <v>0</v>
      </c>
      <c r="E8" s="16" t="b">
        <v>0</v>
      </c>
      <c r="F8" s="16" t="b">
        <v>0</v>
      </c>
      <c r="G8" s="16" t="b">
        <v>0</v>
      </c>
      <c r="H8" s="16" t="b">
        <v>0</v>
      </c>
      <c r="I8" s="16" t="b">
        <v>0</v>
      </c>
      <c r="J8" s="17" t="b">
        <v>0</v>
      </c>
      <c r="K8" s="17" t="b">
        <v>0</v>
      </c>
      <c r="L8" s="17" t="b">
        <v>0</v>
      </c>
      <c r="M8" s="17" t="b">
        <v>0</v>
      </c>
      <c r="N8" s="17" t="b">
        <v>0</v>
      </c>
      <c r="O8" s="17" t="b">
        <v>0</v>
      </c>
      <c r="P8" s="17" t="b">
        <v>0</v>
      </c>
      <c r="Q8" s="16" t="b">
        <v>0</v>
      </c>
      <c r="R8" s="16" t="b">
        <v>0</v>
      </c>
      <c r="S8" s="16" t="b">
        <v>0</v>
      </c>
      <c r="T8" s="16" t="b">
        <v>0</v>
      </c>
      <c r="U8" s="16" t="b">
        <v>0</v>
      </c>
      <c r="V8" s="16" t="b">
        <v>0</v>
      </c>
      <c r="W8" s="16" t="b">
        <v>0</v>
      </c>
      <c r="X8" s="17" t="b">
        <v>0</v>
      </c>
      <c r="Y8" s="17" t="b">
        <v>0</v>
      </c>
      <c r="Z8" s="17" t="b">
        <v>0</v>
      </c>
      <c r="AA8" s="17" t="b">
        <v>0</v>
      </c>
      <c r="AB8" s="17" t="b">
        <v>0</v>
      </c>
      <c r="AC8" s="17" t="b">
        <v>0</v>
      </c>
      <c r="AD8" s="17" t="b">
        <v>0</v>
      </c>
      <c r="AE8" s="16" t="b">
        <v>0</v>
      </c>
      <c r="AF8" s="16" t="b">
        <v>0</v>
      </c>
      <c r="AG8" s="16" t="b">
        <v>0</v>
      </c>
      <c r="AH8" s="16" t="b">
        <v>0</v>
      </c>
      <c r="AI8" s="16" t="b">
        <v>0</v>
      </c>
      <c r="AJ8" s="16" t="b">
        <v>0</v>
      </c>
      <c r="AK8" s="16" t="b">
        <v>0</v>
      </c>
      <c r="AL8" s="3"/>
      <c r="AM8" s="18">
        <v>31.0</v>
      </c>
      <c r="AN8" s="18">
        <f t="shared" ref="AN8:AN15" si="1">COUNTIF(C8:AK8, TRUE)</f>
        <v>1</v>
      </c>
      <c r="AO8" s="19">
        <f t="shared" ref="AO8:AO15" si="2">SUM(AN8 / (COUNTA(C8:AK8) * ROWS(C8:AK8)))</f>
        <v>0.02857142857</v>
      </c>
      <c r="AP8" s="20" t="str">
        <f>IFERROR(__xludf.DUMMYFUNCTION("SPARKLINE(AO8, {""charttype"",""bar""; ""max"",1;""color1"",""green""; ""empty"",""zero""})"),"")</f>
        <v/>
      </c>
    </row>
    <row r="9">
      <c r="A9" s="15">
        <v>2.0</v>
      </c>
      <c r="B9" s="15" t="s">
        <v>23</v>
      </c>
      <c r="C9" s="16" t="b">
        <v>0</v>
      </c>
      <c r="D9" s="21" t="b">
        <v>0</v>
      </c>
      <c r="E9" s="16" t="b">
        <v>0</v>
      </c>
      <c r="F9" s="21" t="b">
        <v>0</v>
      </c>
      <c r="G9" s="16" t="b">
        <v>0</v>
      </c>
      <c r="H9" s="21" t="b">
        <v>0</v>
      </c>
      <c r="I9" s="21" t="b">
        <v>0</v>
      </c>
      <c r="J9" s="22" t="b">
        <v>0</v>
      </c>
      <c r="K9" s="22" t="b">
        <v>0</v>
      </c>
      <c r="L9" s="22" t="b">
        <v>0</v>
      </c>
      <c r="M9" s="22" t="b">
        <v>0</v>
      </c>
      <c r="N9" s="22" t="b">
        <v>0</v>
      </c>
      <c r="O9" s="17" t="b">
        <v>0</v>
      </c>
      <c r="P9" s="17" t="b">
        <v>0</v>
      </c>
      <c r="Q9" s="21" t="b">
        <v>0</v>
      </c>
      <c r="R9" s="16" t="b">
        <v>0</v>
      </c>
      <c r="S9" s="16" t="b">
        <v>0</v>
      </c>
      <c r="T9" s="21" t="b">
        <v>0</v>
      </c>
      <c r="U9" s="16" t="b">
        <v>0</v>
      </c>
      <c r="V9" s="16" t="b">
        <v>0</v>
      </c>
      <c r="W9" s="21" t="b">
        <v>0</v>
      </c>
      <c r="X9" s="17" t="b">
        <v>0</v>
      </c>
      <c r="Y9" s="22" t="b">
        <v>0</v>
      </c>
      <c r="Z9" s="22" t="b">
        <v>0</v>
      </c>
      <c r="AA9" s="22" t="b">
        <v>0</v>
      </c>
      <c r="AB9" s="22" t="b">
        <v>0</v>
      </c>
      <c r="AC9" s="22" t="b">
        <v>0</v>
      </c>
      <c r="AD9" s="22" t="b">
        <v>0</v>
      </c>
      <c r="AE9" s="21" t="b">
        <v>0</v>
      </c>
      <c r="AF9" s="21" t="b">
        <v>0</v>
      </c>
      <c r="AG9" s="21" t="b">
        <v>0</v>
      </c>
      <c r="AH9" s="21" t="b">
        <v>0</v>
      </c>
      <c r="AI9" s="21" t="b">
        <v>0</v>
      </c>
      <c r="AJ9" s="16" t="b">
        <v>0</v>
      </c>
      <c r="AK9" s="21" t="b">
        <v>0</v>
      </c>
      <c r="AL9" s="3"/>
      <c r="AM9" s="18">
        <v>31.0</v>
      </c>
      <c r="AN9" s="18">
        <f t="shared" si="1"/>
        <v>0</v>
      </c>
      <c r="AO9" s="19">
        <f t="shared" si="2"/>
        <v>0</v>
      </c>
      <c r="AP9" s="20" t="str">
        <f>IFERROR(__xludf.DUMMYFUNCTION("SPARKLINE(AO9, {""charttype"",""bar""; ""max"",1;""color1"",""green""; ""empty"",""zero""})"),"")</f>
        <v/>
      </c>
    </row>
    <row r="10">
      <c r="A10" s="15">
        <v>3.0</v>
      </c>
      <c r="B10" s="15" t="s">
        <v>24</v>
      </c>
      <c r="C10" s="16" t="b">
        <v>0</v>
      </c>
      <c r="D10" s="21" t="b">
        <v>0</v>
      </c>
      <c r="E10" s="16" t="b">
        <v>0</v>
      </c>
      <c r="F10" s="21" t="b">
        <v>0</v>
      </c>
      <c r="G10" s="16" t="b">
        <v>0</v>
      </c>
      <c r="H10" s="21" t="b">
        <v>0</v>
      </c>
      <c r="I10" s="16" t="b">
        <v>0</v>
      </c>
      <c r="J10" s="22" t="b">
        <v>0</v>
      </c>
      <c r="K10" s="22" t="b">
        <v>0</v>
      </c>
      <c r="L10" s="22" t="b">
        <v>0</v>
      </c>
      <c r="M10" s="22" t="b">
        <v>0</v>
      </c>
      <c r="N10" s="22" t="b">
        <v>0</v>
      </c>
      <c r="O10" s="22" t="b">
        <v>0</v>
      </c>
      <c r="P10" s="17" t="b">
        <v>0</v>
      </c>
      <c r="Q10" s="21" t="b">
        <v>0</v>
      </c>
      <c r="R10" s="21" t="b">
        <v>0</v>
      </c>
      <c r="S10" s="16" t="b">
        <v>0</v>
      </c>
      <c r="T10" s="21" t="b">
        <v>0</v>
      </c>
      <c r="U10" s="16" t="b">
        <v>0</v>
      </c>
      <c r="V10" s="16" t="b">
        <v>0</v>
      </c>
      <c r="W10" s="21" t="b">
        <v>0</v>
      </c>
      <c r="X10" s="17" t="b">
        <v>0</v>
      </c>
      <c r="Y10" s="22" t="b">
        <v>0</v>
      </c>
      <c r="Z10" s="22" t="b">
        <v>0</v>
      </c>
      <c r="AA10" s="22" t="b">
        <v>0</v>
      </c>
      <c r="AB10" s="22" t="b">
        <v>0</v>
      </c>
      <c r="AC10" s="22" t="b">
        <v>0</v>
      </c>
      <c r="AD10" s="22" t="b">
        <v>0</v>
      </c>
      <c r="AE10" s="21" t="b">
        <v>0</v>
      </c>
      <c r="AF10" s="21" t="b">
        <v>0</v>
      </c>
      <c r="AG10" s="21" t="b">
        <v>0</v>
      </c>
      <c r="AH10" s="21" t="b">
        <v>0</v>
      </c>
      <c r="AI10" s="16" t="b">
        <v>0</v>
      </c>
      <c r="AJ10" s="16" t="b">
        <v>0</v>
      </c>
      <c r="AK10" s="21" t="b">
        <v>0</v>
      </c>
      <c r="AM10" s="18">
        <v>31.0</v>
      </c>
      <c r="AN10" s="18">
        <f t="shared" si="1"/>
        <v>0</v>
      </c>
      <c r="AO10" s="19">
        <f t="shared" si="2"/>
        <v>0</v>
      </c>
      <c r="AP10" s="20" t="str">
        <f>IFERROR(__xludf.DUMMYFUNCTION("SPARKLINE(AO10, {""charttype"",""bar""; ""max"",1;""color1"",""green""; ""empty"",""zero""})"),"")</f>
        <v/>
      </c>
    </row>
    <row r="11">
      <c r="A11" s="15">
        <v>4.0</v>
      </c>
      <c r="B11" s="15" t="s">
        <v>25</v>
      </c>
      <c r="C11" s="16" t="b">
        <v>0</v>
      </c>
      <c r="D11" s="16" t="b">
        <v>0</v>
      </c>
      <c r="E11" s="16" t="b">
        <v>0</v>
      </c>
      <c r="F11" s="16" t="b">
        <v>0</v>
      </c>
      <c r="G11" s="16" t="b">
        <v>0</v>
      </c>
      <c r="H11" s="16" t="b">
        <v>0</v>
      </c>
      <c r="I11" s="16" t="b">
        <v>0</v>
      </c>
      <c r="J11" s="22" t="b">
        <v>0</v>
      </c>
      <c r="K11" s="22" t="b">
        <v>0</v>
      </c>
      <c r="L11" s="22" t="b">
        <v>0</v>
      </c>
      <c r="M11" s="22" t="b">
        <v>0</v>
      </c>
      <c r="N11" s="17" t="b">
        <v>0</v>
      </c>
      <c r="O11" s="22" t="b">
        <v>0</v>
      </c>
      <c r="P11" s="22" t="b">
        <v>0</v>
      </c>
      <c r="Q11" s="21" t="b">
        <v>0</v>
      </c>
      <c r="R11" s="16" t="b">
        <v>0</v>
      </c>
      <c r="S11" s="16" t="b">
        <v>0</v>
      </c>
      <c r="T11" s="21" t="b">
        <v>0</v>
      </c>
      <c r="U11" s="16" t="b">
        <v>0</v>
      </c>
      <c r="V11" s="16" t="b">
        <v>0</v>
      </c>
      <c r="W11" s="21" t="b">
        <v>0</v>
      </c>
      <c r="X11" s="17" t="b">
        <v>0</v>
      </c>
      <c r="Y11" s="22" t="b">
        <v>0</v>
      </c>
      <c r="Z11" s="22" t="b">
        <v>0</v>
      </c>
      <c r="AA11" s="22" t="b">
        <v>0</v>
      </c>
      <c r="AB11" s="22" t="b">
        <v>0</v>
      </c>
      <c r="AC11" s="22" t="b">
        <v>0</v>
      </c>
      <c r="AD11" s="22" t="b">
        <v>0</v>
      </c>
      <c r="AE11" s="21" t="b">
        <v>0</v>
      </c>
      <c r="AF11" s="21" t="b">
        <v>0</v>
      </c>
      <c r="AG11" s="21" t="b">
        <v>0</v>
      </c>
      <c r="AH11" s="21" t="b">
        <v>0</v>
      </c>
      <c r="AI11" s="16" t="b">
        <v>0</v>
      </c>
      <c r="AJ11" s="21" t="b">
        <v>0</v>
      </c>
      <c r="AK11" s="21" t="b">
        <v>0</v>
      </c>
      <c r="AM11" s="18">
        <v>31.0</v>
      </c>
      <c r="AN11" s="18">
        <f t="shared" si="1"/>
        <v>0</v>
      </c>
      <c r="AO11" s="19">
        <f t="shared" si="2"/>
        <v>0</v>
      </c>
      <c r="AP11" s="20" t="str">
        <f>IFERROR(__xludf.DUMMYFUNCTION("SPARKLINE(AO11, {""charttype"",""bar""; ""max"",1;""color1"",""green""; ""empty"",""zero""})"),"")</f>
        <v/>
      </c>
    </row>
    <row r="12">
      <c r="A12" s="15">
        <v>5.0</v>
      </c>
      <c r="B12" s="15" t="s">
        <v>26</v>
      </c>
      <c r="C12" s="16" t="b">
        <v>0</v>
      </c>
      <c r="D12" s="16" t="b">
        <v>0</v>
      </c>
      <c r="E12" s="21" t="b">
        <v>0</v>
      </c>
      <c r="F12" s="21" t="b">
        <v>0</v>
      </c>
      <c r="G12" s="16" t="b">
        <v>0</v>
      </c>
      <c r="H12" s="16" t="b">
        <v>0</v>
      </c>
      <c r="I12" s="16" t="b">
        <v>0</v>
      </c>
      <c r="J12" s="22" t="b">
        <v>0</v>
      </c>
      <c r="K12" s="22" t="b">
        <v>0</v>
      </c>
      <c r="L12" s="17" t="b">
        <v>0</v>
      </c>
      <c r="M12" s="17" t="b">
        <v>0</v>
      </c>
      <c r="N12" s="17" t="b">
        <v>0</v>
      </c>
      <c r="O12" s="22" t="b">
        <v>0</v>
      </c>
      <c r="P12" s="22" t="b">
        <v>0</v>
      </c>
      <c r="Q12" s="16" t="b">
        <v>0</v>
      </c>
      <c r="R12" s="16" t="b">
        <v>0</v>
      </c>
      <c r="S12" s="21" t="b">
        <v>0</v>
      </c>
      <c r="T12" s="21" t="b">
        <v>0</v>
      </c>
      <c r="U12" s="16" t="b">
        <v>0</v>
      </c>
      <c r="V12" s="16" t="b">
        <v>0</v>
      </c>
      <c r="W12" s="21" t="b">
        <v>0</v>
      </c>
      <c r="X12" s="17" t="b">
        <v>0</v>
      </c>
      <c r="Y12" s="22" t="b">
        <v>0</v>
      </c>
      <c r="Z12" s="22" t="b">
        <v>0</v>
      </c>
      <c r="AA12" s="22" t="b">
        <v>0</v>
      </c>
      <c r="AB12" s="22" t="b">
        <v>0</v>
      </c>
      <c r="AC12" s="22" t="b">
        <v>0</v>
      </c>
      <c r="AD12" s="22" t="b">
        <v>0</v>
      </c>
      <c r="AE12" s="21" t="b">
        <v>0</v>
      </c>
      <c r="AF12" s="21" t="b">
        <v>0</v>
      </c>
      <c r="AG12" s="21" t="b">
        <v>0</v>
      </c>
      <c r="AH12" s="21" t="b">
        <v>0</v>
      </c>
      <c r="AI12" s="21" t="b">
        <v>0</v>
      </c>
      <c r="AJ12" s="21" t="b">
        <v>0</v>
      </c>
      <c r="AK12" s="21" t="b">
        <v>0</v>
      </c>
      <c r="AM12" s="18">
        <v>31.0</v>
      </c>
      <c r="AN12" s="18">
        <f t="shared" si="1"/>
        <v>0</v>
      </c>
      <c r="AO12" s="19">
        <f t="shared" si="2"/>
        <v>0</v>
      </c>
      <c r="AP12" s="20" t="str">
        <f>IFERROR(__xludf.DUMMYFUNCTION("SPARKLINE(AO12, {""charttype"",""bar""; ""max"",1;""color1"",""green""; ""empty"",""zero""})"),"")</f>
        <v/>
      </c>
    </row>
    <row r="13">
      <c r="A13" s="15">
        <v>6.0</v>
      </c>
      <c r="B13" s="15" t="s">
        <v>27</v>
      </c>
      <c r="C13" s="16" t="b">
        <v>0</v>
      </c>
      <c r="D13" s="21" t="b">
        <v>0</v>
      </c>
      <c r="E13" s="21" t="b">
        <v>0</v>
      </c>
      <c r="F13" s="21" t="b">
        <v>0</v>
      </c>
      <c r="G13" s="21" t="b">
        <v>0</v>
      </c>
      <c r="H13" s="21" t="b">
        <v>0</v>
      </c>
      <c r="I13" s="16" t="b">
        <v>0</v>
      </c>
      <c r="J13" s="17" t="b">
        <v>0</v>
      </c>
      <c r="K13" s="22" t="b">
        <v>0</v>
      </c>
      <c r="L13" s="22" t="b">
        <v>0</v>
      </c>
      <c r="M13" s="22" t="b">
        <v>0</v>
      </c>
      <c r="N13" s="17" t="b">
        <v>0</v>
      </c>
      <c r="O13" s="22" t="b">
        <v>0</v>
      </c>
      <c r="P13" s="22" t="b">
        <v>0</v>
      </c>
      <c r="Q13" s="21" t="b">
        <v>0</v>
      </c>
      <c r="R13" s="16" t="b">
        <v>0</v>
      </c>
      <c r="S13" s="21" t="b">
        <v>0</v>
      </c>
      <c r="T13" s="21" t="b">
        <v>0</v>
      </c>
      <c r="U13" s="16" t="b">
        <v>0</v>
      </c>
      <c r="V13" s="16" t="b">
        <v>0</v>
      </c>
      <c r="W13" s="21" t="b">
        <v>0</v>
      </c>
      <c r="X13" s="17" t="b">
        <v>0</v>
      </c>
      <c r="Y13" s="22" t="b">
        <v>0</v>
      </c>
      <c r="Z13" s="22" t="b">
        <v>0</v>
      </c>
      <c r="AA13" s="22" t="b">
        <v>0</v>
      </c>
      <c r="AB13" s="22" t="b">
        <v>0</v>
      </c>
      <c r="AC13" s="17" t="b">
        <v>0</v>
      </c>
      <c r="AD13" s="22" t="b">
        <v>0</v>
      </c>
      <c r="AE13" s="21" t="b">
        <v>0</v>
      </c>
      <c r="AF13" s="21" t="b">
        <v>0</v>
      </c>
      <c r="AG13" s="21" t="b">
        <v>0</v>
      </c>
      <c r="AH13" s="21" t="b">
        <v>0</v>
      </c>
      <c r="AI13" s="21" t="b">
        <v>0</v>
      </c>
      <c r="AJ13" s="21" t="b">
        <v>0</v>
      </c>
      <c r="AK13" s="21" t="b">
        <v>0</v>
      </c>
      <c r="AM13" s="18">
        <v>31.0</v>
      </c>
      <c r="AN13" s="18">
        <f t="shared" si="1"/>
        <v>0</v>
      </c>
      <c r="AO13" s="19">
        <f t="shared" si="2"/>
        <v>0</v>
      </c>
      <c r="AP13" s="20" t="str">
        <f>IFERROR(__xludf.DUMMYFUNCTION("SPARKLINE(AO13, {""charttype"",""bar""; ""max"",1;""color1"",""green""; ""empty"",""zero""})"),"")</f>
        <v/>
      </c>
    </row>
    <row r="14">
      <c r="A14" s="15">
        <v>7.0</v>
      </c>
      <c r="B14" s="15" t="s">
        <v>28</v>
      </c>
      <c r="C14" s="16" t="b">
        <v>0</v>
      </c>
      <c r="D14" s="16" t="b">
        <v>0</v>
      </c>
      <c r="E14" s="21" t="b">
        <v>0</v>
      </c>
      <c r="F14" s="21" t="b">
        <v>0</v>
      </c>
      <c r="G14" s="16" t="b">
        <v>0</v>
      </c>
      <c r="H14" s="21" t="b">
        <v>0</v>
      </c>
      <c r="I14" s="21" t="b">
        <v>0</v>
      </c>
      <c r="J14" s="17" t="b">
        <v>0</v>
      </c>
      <c r="K14" s="22" t="b">
        <v>0</v>
      </c>
      <c r="L14" s="17" t="b">
        <v>0</v>
      </c>
      <c r="M14" s="17" t="b">
        <v>0</v>
      </c>
      <c r="N14" s="22" t="b">
        <v>0</v>
      </c>
      <c r="O14" s="22" t="b">
        <v>0</v>
      </c>
      <c r="P14" s="22" t="b">
        <v>0</v>
      </c>
      <c r="Q14" s="21" t="b">
        <v>0</v>
      </c>
      <c r="R14" s="16" t="b">
        <v>0</v>
      </c>
      <c r="S14" s="21" t="b">
        <v>0</v>
      </c>
      <c r="T14" s="21" t="b">
        <v>0</v>
      </c>
      <c r="U14" s="16" t="b">
        <v>0</v>
      </c>
      <c r="V14" s="16" t="b">
        <v>0</v>
      </c>
      <c r="W14" s="21" t="b">
        <v>0</v>
      </c>
      <c r="X14" s="17" t="b">
        <v>0</v>
      </c>
      <c r="Y14" s="22" t="b">
        <v>0</v>
      </c>
      <c r="Z14" s="22" t="b">
        <v>0</v>
      </c>
      <c r="AA14" s="22" t="b">
        <v>0</v>
      </c>
      <c r="AB14" s="22" t="b">
        <v>0</v>
      </c>
      <c r="AC14" s="17" t="b">
        <v>0</v>
      </c>
      <c r="AD14" s="22" t="b">
        <v>0</v>
      </c>
      <c r="AE14" s="21" t="b">
        <v>0</v>
      </c>
      <c r="AF14" s="21" t="b">
        <v>0</v>
      </c>
      <c r="AG14" s="16" t="b">
        <v>0</v>
      </c>
      <c r="AH14" s="21" t="b">
        <v>0</v>
      </c>
      <c r="AI14" s="21" t="b">
        <v>0</v>
      </c>
      <c r="AJ14" s="21" t="b">
        <v>0</v>
      </c>
      <c r="AK14" s="16" t="b">
        <v>0</v>
      </c>
      <c r="AM14" s="18">
        <v>31.0</v>
      </c>
      <c r="AN14" s="18">
        <f t="shared" si="1"/>
        <v>0</v>
      </c>
      <c r="AO14" s="19">
        <f t="shared" si="2"/>
        <v>0</v>
      </c>
      <c r="AP14" s="20" t="str">
        <f>IFERROR(__xludf.DUMMYFUNCTION("SPARKLINE(AO14, {""charttype"",""bar""; ""max"",1;""color1"",""green""; ""empty"",""zero""})"),"")</f>
        <v/>
      </c>
    </row>
    <row r="15">
      <c r="A15" s="15">
        <v>8.0</v>
      </c>
      <c r="B15" s="15" t="s">
        <v>29</v>
      </c>
      <c r="C15" s="16" t="b">
        <v>0</v>
      </c>
      <c r="D15" s="21" t="b">
        <v>0</v>
      </c>
      <c r="E15" s="21" t="b">
        <v>0</v>
      </c>
      <c r="F15" s="16" t="b">
        <v>0</v>
      </c>
      <c r="G15" s="21" t="b">
        <v>0</v>
      </c>
      <c r="H15" s="16" t="b">
        <v>0</v>
      </c>
      <c r="I15" s="21" t="b">
        <v>0</v>
      </c>
      <c r="J15" s="17" t="b">
        <v>0</v>
      </c>
      <c r="K15" s="22" t="b">
        <v>0</v>
      </c>
      <c r="L15" s="22" t="b">
        <v>0</v>
      </c>
      <c r="M15" s="17" t="b">
        <v>0</v>
      </c>
      <c r="N15" s="22" t="b">
        <v>0</v>
      </c>
      <c r="O15" s="22" t="b">
        <v>0</v>
      </c>
      <c r="P15" s="22" t="b">
        <v>0</v>
      </c>
      <c r="Q15" s="21" t="b">
        <v>0</v>
      </c>
      <c r="R15" s="16" t="b">
        <v>0</v>
      </c>
      <c r="S15" s="21" t="b">
        <v>0</v>
      </c>
      <c r="T15" s="21" t="b">
        <v>0</v>
      </c>
      <c r="U15" s="16" t="b">
        <v>0</v>
      </c>
      <c r="V15" s="16" t="b">
        <v>0</v>
      </c>
      <c r="W15" s="21" t="b">
        <v>0</v>
      </c>
      <c r="X15" s="17" t="b">
        <v>0</v>
      </c>
      <c r="Y15" s="22" t="b">
        <v>0</v>
      </c>
      <c r="Z15" s="22" t="b">
        <v>0</v>
      </c>
      <c r="AA15" s="22" t="b">
        <v>0</v>
      </c>
      <c r="AB15" s="22" t="b">
        <v>0</v>
      </c>
      <c r="AC15" s="17" t="b">
        <v>0</v>
      </c>
      <c r="AD15" s="22" t="b">
        <v>0</v>
      </c>
      <c r="AE15" s="21" t="b">
        <v>0</v>
      </c>
      <c r="AF15" s="21" t="b">
        <v>0</v>
      </c>
      <c r="AG15" s="16" t="b">
        <v>0</v>
      </c>
      <c r="AH15" s="21" t="b">
        <v>0</v>
      </c>
      <c r="AI15" s="21" t="b">
        <v>0</v>
      </c>
      <c r="AJ15" s="16" t="b">
        <v>0</v>
      </c>
      <c r="AK15" s="16" t="b">
        <v>0</v>
      </c>
      <c r="AM15" s="18">
        <v>31.0</v>
      </c>
      <c r="AN15" s="18">
        <f t="shared" si="1"/>
        <v>0</v>
      </c>
      <c r="AO15" s="19">
        <f t="shared" si="2"/>
        <v>0</v>
      </c>
      <c r="AP15" s="20" t="str">
        <f>IFERROR(__xludf.DUMMYFUNCTION("SPARKLINE(AO15, {""charttype"",""bar""; ""max"",1;""color1"",""green""; ""empty"",""zero""})"),"")</f>
        <v/>
      </c>
    </row>
    <row r="17">
      <c r="A17" s="23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>
      <c r="A18" s="15" t="s">
        <v>3</v>
      </c>
      <c r="C18" s="25">
        <f t="shared" ref="C18:AG18" si="3">IF(COUNTA(C8:C12)=0, 0, COUNTIF(C8:C12, TRUE)/COUNTA(C8:C12))</f>
        <v>0.2</v>
      </c>
      <c r="D18" s="25">
        <f t="shared" si="3"/>
        <v>0</v>
      </c>
      <c r="E18" s="25">
        <f t="shared" si="3"/>
        <v>0</v>
      </c>
      <c r="F18" s="25">
        <f t="shared" si="3"/>
        <v>0</v>
      </c>
      <c r="G18" s="25">
        <f t="shared" si="3"/>
        <v>0</v>
      </c>
      <c r="H18" s="25">
        <f t="shared" si="3"/>
        <v>0</v>
      </c>
      <c r="I18" s="25">
        <f t="shared" si="3"/>
        <v>0</v>
      </c>
      <c r="J18" s="25">
        <f t="shared" si="3"/>
        <v>0</v>
      </c>
      <c r="K18" s="25">
        <f t="shared" si="3"/>
        <v>0</v>
      </c>
      <c r="L18" s="25">
        <f t="shared" si="3"/>
        <v>0</v>
      </c>
      <c r="M18" s="25">
        <f t="shared" si="3"/>
        <v>0</v>
      </c>
      <c r="N18" s="25">
        <f t="shared" si="3"/>
        <v>0</v>
      </c>
      <c r="O18" s="25">
        <f t="shared" si="3"/>
        <v>0</v>
      </c>
      <c r="P18" s="25">
        <f t="shared" si="3"/>
        <v>0</v>
      </c>
      <c r="Q18" s="25">
        <f t="shared" si="3"/>
        <v>0</v>
      </c>
      <c r="R18" s="25">
        <f t="shared" si="3"/>
        <v>0</v>
      </c>
      <c r="S18" s="25">
        <f t="shared" si="3"/>
        <v>0</v>
      </c>
      <c r="T18" s="25">
        <f t="shared" si="3"/>
        <v>0</v>
      </c>
      <c r="U18" s="25">
        <f t="shared" si="3"/>
        <v>0</v>
      </c>
      <c r="V18" s="25">
        <f t="shared" si="3"/>
        <v>0</v>
      </c>
      <c r="W18" s="25">
        <f t="shared" si="3"/>
        <v>0</v>
      </c>
      <c r="X18" s="25">
        <f t="shared" si="3"/>
        <v>0</v>
      </c>
      <c r="Y18" s="25">
        <f t="shared" si="3"/>
        <v>0</v>
      </c>
      <c r="Z18" s="25">
        <f t="shared" si="3"/>
        <v>0</v>
      </c>
      <c r="AA18" s="25">
        <f t="shared" si="3"/>
        <v>0</v>
      </c>
      <c r="AB18" s="25">
        <f t="shared" si="3"/>
        <v>0</v>
      </c>
      <c r="AC18" s="25">
        <f t="shared" si="3"/>
        <v>0</v>
      </c>
      <c r="AD18" s="25">
        <f t="shared" si="3"/>
        <v>0</v>
      </c>
      <c r="AE18" s="25">
        <f t="shared" si="3"/>
        <v>0</v>
      </c>
      <c r="AF18" s="25">
        <f t="shared" si="3"/>
        <v>0</v>
      </c>
      <c r="AG18" s="25">
        <f t="shared" si="3"/>
        <v>0</v>
      </c>
      <c r="AH18" s="3"/>
      <c r="AI18" s="3"/>
      <c r="AJ18" s="3"/>
      <c r="AK18" s="3"/>
      <c r="AL18" s="3"/>
      <c r="AM18" s="11" t="s">
        <v>30</v>
      </c>
    </row>
    <row r="19">
      <c r="A19" s="15" t="s">
        <v>31</v>
      </c>
      <c r="C19" s="26">
        <f t="shared" ref="C19:AG19" si="4">COUNTIF(C8:C12, TRUE)</f>
        <v>1</v>
      </c>
      <c r="D19" s="26">
        <f t="shared" si="4"/>
        <v>0</v>
      </c>
      <c r="E19" s="26">
        <f t="shared" si="4"/>
        <v>0</v>
      </c>
      <c r="F19" s="26">
        <f t="shared" si="4"/>
        <v>0</v>
      </c>
      <c r="G19" s="26">
        <f t="shared" si="4"/>
        <v>0</v>
      </c>
      <c r="H19" s="26">
        <f t="shared" si="4"/>
        <v>0</v>
      </c>
      <c r="I19" s="26">
        <f t="shared" si="4"/>
        <v>0</v>
      </c>
      <c r="J19" s="26">
        <f t="shared" si="4"/>
        <v>0</v>
      </c>
      <c r="K19" s="26">
        <f t="shared" si="4"/>
        <v>0</v>
      </c>
      <c r="L19" s="26">
        <f t="shared" si="4"/>
        <v>0</v>
      </c>
      <c r="M19" s="26">
        <f t="shared" si="4"/>
        <v>0</v>
      </c>
      <c r="N19" s="26">
        <f t="shared" si="4"/>
        <v>0</v>
      </c>
      <c r="O19" s="26">
        <f t="shared" si="4"/>
        <v>0</v>
      </c>
      <c r="P19" s="26">
        <f t="shared" si="4"/>
        <v>0</v>
      </c>
      <c r="Q19" s="26">
        <f t="shared" si="4"/>
        <v>0</v>
      </c>
      <c r="R19" s="26">
        <f t="shared" si="4"/>
        <v>0</v>
      </c>
      <c r="S19" s="26">
        <f t="shared" si="4"/>
        <v>0</v>
      </c>
      <c r="T19" s="26">
        <f t="shared" si="4"/>
        <v>0</v>
      </c>
      <c r="U19" s="26">
        <f t="shared" si="4"/>
        <v>0</v>
      </c>
      <c r="V19" s="26">
        <f t="shared" si="4"/>
        <v>0</v>
      </c>
      <c r="W19" s="26">
        <f t="shared" si="4"/>
        <v>0</v>
      </c>
      <c r="X19" s="26">
        <f t="shared" si="4"/>
        <v>0</v>
      </c>
      <c r="Y19" s="26">
        <f t="shared" si="4"/>
        <v>0</v>
      </c>
      <c r="Z19" s="26">
        <f t="shared" si="4"/>
        <v>0</v>
      </c>
      <c r="AA19" s="26">
        <f t="shared" si="4"/>
        <v>0</v>
      </c>
      <c r="AB19" s="26">
        <f t="shared" si="4"/>
        <v>0</v>
      </c>
      <c r="AC19" s="26">
        <f t="shared" si="4"/>
        <v>0</v>
      </c>
      <c r="AD19" s="26">
        <f t="shared" si="4"/>
        <v>0</v>
      </c>
      <c r="AE19" s="26">
        <f t="shared" si="4"/>
        <v>0</v>
      </c>
      <c r="AF19" s="26">
        <f t="shared" si="4"/>
        <v>0</v>
      </c>
      <c r="AG19" s="26">
        <f t="shared" si="4"/>
        <v>0</v>
      </c>
      <c r="AH19" s="3"/>
      <c r="AI19" s="3"/>
      <c r="AJ19" s="3"/>
      <c r="AK19" s="3"/>
      <c r="AL19" s="3"/>
      <c r="AM19" s="27" t="s">
        <v>32</v>
      </c>
    </row>
    <row r="20">
      <c r="A20" s="15" t="s">
        <v>33</v>
      </c>
      <c r="C20" s="26">
        <f t="shared" ref="C20:AG20" si="5">COUNTIF(C8:C12, FALSE)</f>
        <v>4</v>
      </c>
      <c r="D20" s="26">
        <f t="shared" si="5"/>
        <v>5</v>
      </c>
      <c r="E20" s="26">
        <f t="shared" si="5"/>
        <v>5</v>
      </c>
      <c r="F20" s="26">
        <f t="shared" si="5"/>
        <v>5</v>
      </c>
      <c r="G20" s="26">
        <f t="shared" si="5"/>
        <v>5</v>
      </c>
      <c r="H20" s="26">
        <f t="shared" si="5"/>
        <v>5</v>
      </c>
      <c r="I20" s="26">
        <f t="shared" si="5"/>
        <v>5</v>
      </c>
      <c r="J20" s="26">
        <f t="shared" si="5"/>
        <v>5</v>
      </c>
      <c r="K20" s="26">
        <f t="shared" si="5"/>
        <v>5</v>
      </c>
      <c r="L20" s="26">
        <f t="shared" si="5"/>
        <v>5</v>
      </c>
      <c r="M20" s="26">
        <f t="shared" si="5"/>
        <v>5</v>
      </c>
      <c r="N20" s="26">
        <f t="shared" si="5"/>
        <v>5</v>
      </c>
      <c r="O20" s="26">
        <f t="shared" si="5"/>
        <v>5</v>
      </c>
      <c r="P20" s="26">
        <f t="shared" si="5"/>
        <v>5</v>
      </c>
      <c r="Q20" s="26">
        <f t="shared" si="5"/>
        <v>5</v>
      </c>
      <c r="R20" s="26">
        <f t="shared" si="5"/>
        <v>5</v>
      </c>
      <c r="S20" s="26">
        <f t="shared" si="5"/>
        <v>5</v>
      </c>
      <c r="T20" s="26">
        <f t="shared" si="5"/>
        <v>5</v>
      </c>
      <c r="U20" s="26">
        <f t="shared" si="5"/>
        <v>5</v>
      </c>
      <c r="V20" s="26">
        <f t="shared" si="5"/>
        <v>5</v>
      </c>
      <c r="W20" s="26">
        <f t="shared" si="5"/>
        <v>5</v>
      </c>
      <c r="X20" s="26">
        <f t="shared" si="5"/>
        <v>5</v>
      </c>
      <c r="Y20" s="26">
        <f t="shared" si="5"/>
        <v>5</v>
      </c>
      <c r="Z20" s="26">
        <f t="shared" si="5"/>
        <v>5</v>
      </c>
      <c r="AA20" s="26">
        <f t="shared" si="5"/>
        <v>5</v>
      </c>
      <c r="AB20" s="26">
        <f t="shared" si="5"/>
        <v>5</v>
      </c>
      <c r="AC20" s="26">
        <f t="shared" si="5"/>
        <v>5</v>
      </c>
      <c r="AD20" s="26">
        <f t="shared" si="5"/>
        <v>5</v>
      </c>
      <c r="AE20" s="26">
        <f t="shared" si="5"/>
        <v>5</v>
      </c>
      <c r="AF20" s="26">
        <f t="shared" si="5"/>
        <v>5</v>
      </c>
      <c r="AG20" s="26">
        <f t="shared" si="5"/>
        <v>5</v>
      </c>
      <c r="AH20" s="3"/>
      <c r="AI20" s="3"/>
      <c r="AJ20" s="3"/>
      <c r="AK20" s="3"/>
      <c r="AL20" s="3"/>
    </row>
    <row r="21">
      <c r="AD21" s="28"/>
      <c r="AE21" s="28"/>
      <c r="AF21" s="28"/>
      <c r="AG21" s="28"/>
      <c r="AH21" s="28"/>
      <c r="AI21" s="3"/>
      <c r="AJ21" s="3"/>
      <c r="AK21" s="3"/>
      <c r="AL21" s="3"/>
    </row>
    <row r="22">
      <c r="AD22" s="28"/>
      <c r="AE22" s="28"/>
      <c r="AF22" s="28"/>
      <c r="AG22" s="28"/>
      <c r="AH22" s="28"/>
      <c r="AI22" s="3"/>
      <c r="AJ22" s="3"/>
      <c r="AK22" s="3"/>
      <c r="AL22" s="3"/>
    </row>
    <row r="23">
      <c r="AI23" s="3"/>
      <c r="AJ23" s="3"/>
      <c r="AK23" s="3"/>
      <c r="AL23" s="3"/>
    </row>
    <row r="24">
      <c r="AI24" s="3"/>
      <c r="AJ24" s="3"/>
      <c r="AK24" s="3"/>
      <c r="AL24" s="3"/>
    </row>
    <row r="25">
      <c r="AI25" s="3"/>
      <c r="AJ25" s="3"/>
      <c r="AK25" s="3"/>
      <c r="AL25" s="3"/>
    </row>
    <row r="26">
      <c r="AD26" s="28"/>
      <c r="AE26" s="28"/>
      <c r="AF26" s="28"/>
      <c r="AG26" s="28"/>
      <c r="AH26" s="28"/>
      <c r="AI26" s="3"/>
      <c r="AJ26" s="3"/>
      <c r="AK26" s="3"/>
      <c r="AL26" s="3"/>
    </row>
    <row r="27"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</row>
    <row r="28"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</row>
    <row r="29">
      <c r="AD29" s="28"/>
      <c r="AE29" s="28"/>
      <c r="AF29" s="28"/>
      <c r="AG29" s="28"/>
      <c r="AH29" s="28"/>
      <c r="AM29" s="28"/>
      <c r="AN29" s="28"/>
      <c r="AO29" s="28"/>
      <c r="AP29" s="28"/>
    </row>
    <row r="30">
      <c r="AM30" s="28"/>
      <c r="AN30" s="28"/>
      <c r="AO30" s="28"/>
      <c r="AP30" s="28"/>
    </row>
    <row r="31">
      <c r="AM31" s="28"/>
      <c r="AN31" s="28"/>
      <c r="AO31" s="28"/>
      <c r="AP31" s="28"/>
    </row>
    <row r="32"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</row>
    <row r="33"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</row>
    <row r="34"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</row>
    <row r="35"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</row>
    <row r="36"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</row>
    <row r="37"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</row>
    <row r="38"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</row>
    <row r="39"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</row>
    <row r="40"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</row>
    <row r="41"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</row>
    <row r="42"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</row>
    <row r="43"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</row>
    <row r="44"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</row>
    <row r="45"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</row>
    <row r="46"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</row>
    <row r="47"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</row>
    <row r="48"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</row>
    <row r="49"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</row>
    <row r="50"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</row>
    <row r="51"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</row>
    <row r="52"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</row>
    <row r="53"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</row>
    <row r="54"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</row>
    <row r="55"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</row>
    <row r="56"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</row>
    <row r="57"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</row>
    <row r="58"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</row>
    <row r="59"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</row>
    <row r="60"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</row>
    <row r="61"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</row>
    <row r="62"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</row>
    <row r="63"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</row>
    <row r="64"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</row>
    <row r="65">
      <c r="J65" s="15" t="s">
        <v>27</v>
      </c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</row>
    <row r="66">
      <c r="J66" s="15" t="s">
        <v>25</v>
      </c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</row>
    <row r="67">
      <c r="J67" s="15" t="s">
        <v>34</v>
      </c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</row>
    <row r="68">
      <c r="J68" s="15" t="s">
        <v>26</v>
      </c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</row>
    <row r="69"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</row>
    <row r="70"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</row>
    <row r="71"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</row>
    <row r="72"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</row>
    <row r="73"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</row>
    <row r="74"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</row>
    <row r="75"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</row>
    <row r="76"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</row>
    <row r="77"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</row>
    <row r="78"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</row>
    <row r="79"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</row>
    <row r="80"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</row>
    <row r="81"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</row>
    <row r="82"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</row>
    <row r="83"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</row>
    <row r="84"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</row>
    <row r="85"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</row>
    <row r="86"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</row>
    <row r="87"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</row>
    <row r="88"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</row>
    <row r="89"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</row>
    <row r="90"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</row>
    <row r="91"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</row>
    <row r="92"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</row>
    <row r="93"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</row>
    <row r="94"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</row>
    <row r="95"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</row>
    <row r="96"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</row>
    <row r="97"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</row>
    <row r="98"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</row>
    <row r="99"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</row>
    <row r="100"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</row>
    <row r="101"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</row>
    <row r="102"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</row>
    <row r="103"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</row>
    <row r="104"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</row>
    <row r="105"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</row>
    <row r="106"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</row>
    <row r="107"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</row>
    <row r="108"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</row>
    <row r="109"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</row>
    <row r="110"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</row>
    <row r="111"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</row>
    <row r="112"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</row>
    <row r="113"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</row>
    <row r="114"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</row>
    <row r="115"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</row>
    <row r="116"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</row>
    <row r="117"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</row>
    <row r="118"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</row>
    <row r="119"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</row>
    <row r="120"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</row>
    <row r="121"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</row>
    <row r="122"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</row>
    <row r="123"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</row>
    <row r="124"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</row>
    <row r="125"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</row>
    <row r="126"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</row>
    <row r="127"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</row>
    <row r="128"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</row>
    <row r="129"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</row>
    <row r="130"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</row>
    <row r="131"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</row>
    <row r="132"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</row>
    <row r="133"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</row>
    <row r="134"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</row>
    <row r="135"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</row>
    <row r="136"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</row>
    <row r="137"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</row>
    <row r="138"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</row>
    <row r="139"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</row>
    <row r="140"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</row>
    <row r="141"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</row>
    <row r="142"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</row>
    <row r="143"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</row>
    <row r="144"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</row>
    <row r="145"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</row>
    <row r="146"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</row>
    <row r="147"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</row>
    <row r="148"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</row>
    <row r="149"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</row>
    <row r="150"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</row>
    <row r="151"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</row>
    <row r="152"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</row>
    <row r="153"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</row>
    <row r="154"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</row>
    <row r="155"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</row>
    <row r="156"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</row>
    <row r="157"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</row>
    <row r="158"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</row>
    <row r="159"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</row>
    <row r="160"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</row>
    <row r="161"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</row>
    <row r="162"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</row>
    <row r="163"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</row>
    <row r="164"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</row>
    <row r="165"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</row>
    <row r="166"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</row>
    <row r="167"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</row>
    <row r="168"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</row>
    <row r="169"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</row>
    <row r="170"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</row>
    <row r="171"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</row>
    <row r="172"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</row>
    <row r="173"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</row>
    <row r="174"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</row>
    <row r="175"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</row>
    <row r="176"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</row>
    <row r="177"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</row>
    <row r="178"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</row>
    <row r="179"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</row>
    <row r="180"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</row>
    <row r="181"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</row>
    <row r="182"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</row>
    <row r="183"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</row>
    <row r="184"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</row>
    <row r="185"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</row>
    <row r="186"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</row>
    <row r="187"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</row>
    <row r="188"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</row>
    <row r="189"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</row>
    <row r="190"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</row>
    <row r="191"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</row>
    <row r="192"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</row>
    <row r="193"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</row>
    <row r="194"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</row>
    <row r="195"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</row>
    <row r="196"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</row>
    <row r="197"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</row>
    <row r="198"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</row>
    <row r="199"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</row>
    <row r="200"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</row>
    <row r="201"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</row>
    <row r="202"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</row>
    <row r="203"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</row>
    <row r="204"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</row>
    <row r="205"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</row>
    <row r="206"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</row>
    <row r="207"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</row>
    <row r="208"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</row>
    <row r="209"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</row>
    <row r="210"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</row>
    <row r="211"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</row>
    <row r="212"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</row>
    <row r="213"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</row>
    <row r="214"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</row>
    <row r="215"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</row>
    <row r="216"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</row>
    <row r="217"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</row>
    <row r="218"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</row>
    <row r="219"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</row>
    <row r="220"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</row>
    <row r="221"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</row>
    <row r="222"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</row>
    <row r="223"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</row>
    <row r="224"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</row>
    <row r="225"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</row>
    <row r="226"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</row>
    <row r="227"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</row>
    <row r="228"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</row>
    <row r="229"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</row>
    <row r="230"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</row>
    <row r="231"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</row>
    <row r="232"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</row>
    <row r="233"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</row>
    <row r="234"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</row>
    <row r="235"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</row>
    <row r="236"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</row>
    <row r="237"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</row>
    <row r="238"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</row>
    <row r="239"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</row>
    <row r="240"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</row>
    <row r="241"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</row>
    <row r="242"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</row>
    <row r="243"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</row>
    <row r="244"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</row>
    <row r="245"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</row>
    <row r="246"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</row>
    <row r="247"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</row>
    <row r="248"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</row>
    <row r="249"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</row>
    <row r="250"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</row>
    <row r="251"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</row>
    <row r="252"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</row>
    <row r="253"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</row>
    <row r="254"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</row>
    <row r="255"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</row>
    <row r="256"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</row>
    <row r="257"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</row>
    <row r="258"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</row>
    <row r="259"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</row>
    <row r="260"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</row>
    <row r="261"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</row>
    <row r="262"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</row>
    <row r="263"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</row>
    <row r="264"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</row>
    <row r="265"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</row>
    <row r="266"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</row>
    <row r="267"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</row>
    <row r="268"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</row>
    <row r="269"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</row>
    <row r="270"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</row>
    <row r="271"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</row>
    <row r="272"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</row>
    <row r="273"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</row>
    <row r="274"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</row>
    <row r="275"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</row>
    <row r="276"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</row>
    <row r="277"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</row>
    <row r="278"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</row>
    <row r="279"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</row>
    <row r="280"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</row>
    <row r="281"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</row>
    <row r="282"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</row>
    <row r="283"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</row>
    <row r="284"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</row>
    <row r="285"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</row>
    <row r="286"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</row>
    <row r="287"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</row>
    <row r="288"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</row>
    <row r="289"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</row>
    <row r="290"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</row>
    <row r="291"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</row>
    <row r="292"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</row>
    <row r="293"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</row>
    <row r="294"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</row>
    <row r="295"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</row>
    <row r="296"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</row>
    <row r="297"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</row>
    <row r="298"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</row>
    <row r="299"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</row>
    <row r="300"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</row>
    <row r="301"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</row>
    <row r="302"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</row>
    <row r="303"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</row>
    <row r="304"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</row>
    <row r="305"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</row>
    <row r="306"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</row>
    <row r="307"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</row>
    <row r="308"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</row>
    <row r="309"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</row>
    <row r="310"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</row>
    <row r="311"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</row>
    <row r="312"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</row>
    <row r="313"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</row>
    <row r="314"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</row>
    <row r="315"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</row>
    <row r="316"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</row>
    <row r="317"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</row>
    <row r="318"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</row>
    <row r="319"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</row>
    <row r="320"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</row>
    <row r="321"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</row>
    <row r="322"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</row>
    <row r="323"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</row>
    <row r="324"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</row>
    <row r="325"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</row>
    <row r="326"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</row>
    <row r="327"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</row>
    <row r="328"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</row>
    <row r="329"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</row>
    <row r="330"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</row>
    <row r="331"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</row>
    <row r="332"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</row>
    <row r="333"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</row>
    <row r="334"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</row>
    <row r="335"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</row>
    <row r="336"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</row>
    <row r="337"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</row>
    <row r="338"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</row>
    <row r="339"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</row>
    <row r="340"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</row>
    <row r="341"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</row>
    <row r="342"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</row>
    <row r="343"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</row>
    <row r="344"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</row>
    <row r="345"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</row>
    <row r="346"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</row>
    <row r="347"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</row>
    <row r="348"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</row>
    <row r="349"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</row>
    <row r="350"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</row>
    <row r="351"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</row>
    <row r="352"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</row>
    <row r="353"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</row>
    <row r="354"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</row>
    <row r="355"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</row>
    <row r="356"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</row>
    <row r="357"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</row>
    <row r="358"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</row>
    <row r="359"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</row>
    <row r="360"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</row>
    <row r="361"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</row>
    <row r="362"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</row>
    <row r="363"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</row>
    <row r="364"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</row>
    <row r="365"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</row>
    <row r="366"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</row>
    <row r="367"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</row>
    <row r="368"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</row>
    <row r="369"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</row>
    <row r="370"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</row>
    <row r="371"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</row>
    <row r="372"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</row>
    <row r="373"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</row>
    <row r="374"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</row>
    <row r="375"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</row>
    <row r="376"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</row>
    <row r="377"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</row>
    <row r="378"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</row>
    <row r="379"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</row>
    <row r="380"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</row>
    <row r="381"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</row>
    <row r="382"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</row>
    <row r="383"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</row>
    <row r="384"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</row>
    <row r="385"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</row>
    <row r="386"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</row>
    <row r="387"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</row>
    <row r="388"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</row>
    <row r="389"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</row>
    <row r="390"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</row>
    <row r="391"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</row>
    <row r="392"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</row>
    <row r="393"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</row>
    <row r="394"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</row>
    <row r="395"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</row>
    <row r="396"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</row>
    <row r="397"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</row>
    <row r="398"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</row>
    <row r="399"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</row>
    <row r="400"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</row>
    <row r="401"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</row>
    <row r="402"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</row>
    <row r="403"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</row>
    <row r="404"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</row>
    <row r="405"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</row>
    <row r="406"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</row>
    <row r="407"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</row>
    <row r="408"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</row>
    <row r="409"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</row>
    <row r="410"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</row>
    <row r="411"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</row>
    <row r="412"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</row>
    <row r="413"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</row>
    <row r="414"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</row>
    <row r="415"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</row>
    <row r="416"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</row>
    <row r="417"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</row>
    <row r="418"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</row>
    <row r="419"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</row>
    <row r="420"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</row>
    <row r="421"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</row>
    <row r="422"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</row>
    <row r="423"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</row>
    <row r="424"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</row>
    <row r="425"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</row>
    <row r="426"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</row>
    <row r="427"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</row>
    <row r="428"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</row>
    <row r="429"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</row>
    <row r="430"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</row>
    <row r="431"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</row>
    <row r="432"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</row>
    <row r="433"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</row>
    <row r="434"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</row>
    <row r="435"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</row>
    <row r="436"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</row>
    <row r="437"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</row>
    <row r="438"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</row>
    <row r="439"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</row>
    <row r="440"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</row>
    <row r="441"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</row>
    <row r="442"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</row>
    <row r="443"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</row>
    <row r="444"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</row>
    <row r="445"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</row>
    <row r="446"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</row>
    <row r="447"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</row>
    <row r="448"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</row>
    <row r="449"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</row>
    <row r="450"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</row>
    <row r="451"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</row>
    <row r="452"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</row>
    <row r="453"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</row>
    <row r="454"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</row>
    <row r="455"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</row>
    <row r="456"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</row>
    <row r="457"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</row>
    <row r="458"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</row>
    <row r="459"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</row>
    <row r="460"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</row>
    <row r="461"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</row>
    <row r="462"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</row>
    <row r="463"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</row>
    <row r="464"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</row>
    <row r="465"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</row>
    <row r="466"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</row>
    <row r="467"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</row>
    <row r="468"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</row>
    <row r="469"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</row>
    <row r="470"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</row>
    <row r="471"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</row>
    <row r="472"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</row>
    <row r="473"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</row>
    <row r="474"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</row>
    <row r="475"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</row>
    <row r="476"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</row>
    <row r="477"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</row>
    <row r="478"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</row>
    <row r="479"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</row>
    <row r="480"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</row>
    <row r="481"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</row>
    <row r="482"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</row>
    <row r="483"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</row>
    <row r="484"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</row>
    <row r="485"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</row>
    <row r="486"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</row>
    <row r="487"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</row>
    <row r="488"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</row>
    <row r="489"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</row>
    <row r="490"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</row>
    <row r="491"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</row>
    <row r="492"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</row>
    <row r="493"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</row>
    <row r="494"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</row>
    <row r="495"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</row>
    <row r="496"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</row>
    <row r="497"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</row>
    <row r="498"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</row>
    <row r="499"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</row>
    <row r="500"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</row>
    <row r="501"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</row>
    <row r="502"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</row>
    <row r="503"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</row>
    <row r="504"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</row>
    <row r="505"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</row>
    <row r="506"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</row>
    <row r="507"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</row>
    <row r="508"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</row>
    <row r="509"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</row>
    <row r="510"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</row>
    <row r="511"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</row>
    <row r="512"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</row>
    <row r="513"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</row>
    <row r="514"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</row>
    <row r="515"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</row>
    <row r="516"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</row>
    <row r="517"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</row>
    <row r="518"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</row>
    <row r="519"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</row>
    <row r="520"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</row>
    <row r="521"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</row>
    <row r="522"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</row>
    <row r="523"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</row>
    <row r="524"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</row>
    <row r="525"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</row>
    <row r="526"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</row>
    <row r="527"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</row>
    <row r="528"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</row>
    <row r="529"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</row>
    <row r="530"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</row>
    <row r="531"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</row>
    <row r="532"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</row>
    <row r="533"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</row>
    <row r="534"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</row>
    <row r="535"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</row>
    <row r="536"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</row>
    <row r="537"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</row>
    <row r="538"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</row>
    <row r="539"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</row>
    <row r="540"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</row>
    <row r="541"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</row>
    <row r="542"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</row>
    <row r="543"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</row>
    <row r="544"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</row>
    <row r="545"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</row>
    <row r="546"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</row>
    <row r="547"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</row>
    <row r="548"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</row>
    <row r="549"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</row>
    <row r="550"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</row>
    <row r="551"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</row>
    <row r="552"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</row>
    <row r="553"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</row>
    <row r="554"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</row>
    <row r="555"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</row>
    <row r="556"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</row>
    <row r="557"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</row>
    <row r="558"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</row>
    <row r="559"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</row>
    <row r="560"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</row>
    <row r="561"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</row>
    <row r="562"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</row>
    <row r="563"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</row>
    <row r="564"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</row>
    <row r="565"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</row>
    <row r="566"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</row>
    <row r="567"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</row>
    <row r="568"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</row>
    <row r="569"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</row>
    <row r="570"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</row>
    <row r="571"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</row>
    <row r="572"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</row>
    <row r="573"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</row>
    <row r="574"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</row>
    <row r="575"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</row>
    <row r="576"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</row>
    <row r="577"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</row>
    <row r="578"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</row>
    <row r="579"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</row>
    <row r="580"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</row>
    <row r="581"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</row>
    <row r="582"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</row>
    <row r="583"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</row>
    <row r="584"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</row>
    <row r="585"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</row>
    <row r="586"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</row>
    <row r="587"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</row>
    <row r="588"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</row>
    <row r="589"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</row>
    <row r="590"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</row>
    <row r="591"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</row>
    <row r="592"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</row>
    <row r="593"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</row>
    <row r="594"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</row>
    <row r="595"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</row>
    <row r="596"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</row>
    <row r="597"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</row>
    <row r="598"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</row>
    <row r="599"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</row>
    <row r="600"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</row>
    <row r="601"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</row>
    <row r="602"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</row>
    <row r="603"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</row>
    <row r="604"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</row>
    <row r="605"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</row>
    <row r="606"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</row>
    <row r="607"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</row>
    <row r="608"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</row>
    <row r="609"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</row>
    <row r="610"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</row>
    <row r="611"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</row>
    <row r="612"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</row>
    <row r="613"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</row>
    <row r="614"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</row>
    <row r="615"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</row>
    <row r="616"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</row>
    <row r="617"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</row>
    <row r="618"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</row>
    <row r="619"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</row>
    <row r="620"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</row>
    <row r="621"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</row>
    <row r="622"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</row>
    <row r="623"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</row>
    <row r="624"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</row>
    <row r="625"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</row>
    <row r="626"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</row>
    <row r="627"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</row>
    <row r="628"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</row>
    <row r="629"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</row>
    <row r="630"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</row>
    <row r="631"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</row>
    <row r="632"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</row>
    <row r="633"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</row>
    <row r="634"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</row>
    <row r="635"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</row>
    <row r="636"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</row>
    <row r="637"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</row>
    <row r="638"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</row>
    <row r="639"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</row>
    <row r="640"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</row>
    <row r="641"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</row>
    <row r="642"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</row>
    <row r="643"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</row>
    <row r="644"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</row>
    <row r="645"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</row>
    <row r="646"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</row>
    <row r="647"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</row>
    <row r="648"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</row>
    <row r="649"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</row>
    <row r="650"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</row>
    <row r="651"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</row>
    <row r="652"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</row>
    <row r="653"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</row>
    <row r="654"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</row>
    <row r="655"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</row>
    <row r="656"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</row>
    <row r="657"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</row>
    <row r="658"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</row>
    <row r="659"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</row>
    <row r="660"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</row>
    <row r="661"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</row>
    <row r="662"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</row>
    <row r="663"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</row>
    <row r="664"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</row>
    <row r="665"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</row>
    <row r="666"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</row>
    <row r="667"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</row>
    <row r="668"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</row>
    <row r="669"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</row>
    <row r="670"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</row>
    <row r="671"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</row>
    <row r="672"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</row>
    <row r="673"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</row>
    <row r="674"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</row>
    <row r="675"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</row>
    <row r="676"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</row>
    <row r="677"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</row>
    <row r="678"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</row>
    <row r="679"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</row>
    <row r="680"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</row>
    <row r="681"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</row>
    <row r="682"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</row>
    <row r="683"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</row>
    <row r="684"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</row>
    <row r="685"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</row>
    <row r="686"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</row>
    <row r="687"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</row>
    <row r="688"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</row>
    <row r="689"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</row>
    <row r="690"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</row>
    <row r="691"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</row>
    <row r="692"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</row>
    <row r="693"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</row>
    <row r="694"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</row>
    <row r="695"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</row>
    <row r="696"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</row>
    <row r="697"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</row>
    <row r="698"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</row>
    <row r="699"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</row>
    <row r="700"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</row>
    <row r="701"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</row>
    <row r="702"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</row>
    <row r="703"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</row>
    <row r="704"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</row>
    <row r="705"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</row>
    <row r="706"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</row>
    <row r="707"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</row>
    <row r="708"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</row>
    <row r="709"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</row>
    <row r="710"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</row>
    <row r="711"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</row>
    <row r="712"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</row>
    <row r="713"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</row>
    <row r="714"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</row>
    <row r="715"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</row>
    <row r="716"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</row>
    <row r="717"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</row>
    <row r="718"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</row>
    <row r="719"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</row>
    <row r="720"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</row>
    <row r="721"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</row>
    <row r="722"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</row>
    <row r="723"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</row>
    <row r="724"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</row>
    <row r="725"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</row>
    <row r="726"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</row>
    <row r="727"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</row>
    <row r="728"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</row>
    <row r="729"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</row>
    <row r="730"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</row>
    <row r="731"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</row>
    <row r="732"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</row>
    <row r="733"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</row>
    <row r="734"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</row>
    <row r="735"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</row>
    <row r="736"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</row>
    <row r="737"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</row>
    <row r="738"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</row>
    <row r="739"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</row>
    <row r="740"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</row>
    <row r="741"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</row>
    <row r="742"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</row>
    <row r="743"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</row>
    <row r="744"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</row>
    <row r="745"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</row>
    <row r="746"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</row>
    <row r="747"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</row>
    <row r="748"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</row>
    <row r="749"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</row>
    <row r="750"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</row>
    <row r="751"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</row>
    <row r="752"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</row>
    <row r="753"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</row>
    <row r="754"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</row>
    <row r="755"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</row>
    <row r="756"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</row>
    <row r="757"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</row>
    <row r="758"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</row>
    <row r="759"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</row>
    <row r="760"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</row>
    <row r="761"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</row>
    <row r="762"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</row>
    <row r="763"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</row>
    <row r="764"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</row>
    <row r="765"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</row>
    <row r="766"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</row>
    <row r="767"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</row>
    <row r="768"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</row>
    <row r="769"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</row>
    <row r="770"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</row>
    <row r="771"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</row>
    <row r="772"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</row>
    <row r="773"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</row>
    <row r="774"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</row>
    <row r="775"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</row>
    <row r="776"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</row>
    <row r="777"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</row>
    <row r="778"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</row>
    <row r="779"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</row>
    <row r="780"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</row>
    <row r="781"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</row>
    <row r="782"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</row>
    <row r="783"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</row>
    <row r="784"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</row>
    <row r="785"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</row>
    <row r="786"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</row>
    <row r="787"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</row>
    <row r="788"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</row>
    <row r="789"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</row>
    <row r="790"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</row>
    <row r="791"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</row>
    <row r="792"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</row>
    <row r="793"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</row>
    <row r="794"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</row>
    <row r="795"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</row>
    <row r="796"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</row>
    <row r="797"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</row>
    <row r="798"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</row>
    <row r="799"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</row>
    <row r="800"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</row>
    <row r="801"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</row>
    <row r="802"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</row>
    <row r="803"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</row>
    <row r="804"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</row>
    <row r="805"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</row>
    <row r="806"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</row>
    <row r="807"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</row>
    <row r="808"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</row>
    <row r="809"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</row>
    <row r="810"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</row>
    <row r="811"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</row>
    <row r="812"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</row>
    <row r="813"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</row>
    <row r="814"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</row>
    <row r="815"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</row>
    <row r="816"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</row>
    <row r="817"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</row>
    <row r="818"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</row>
    <row r="819"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</row>
    <row r="820"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</row>
    <row r="821"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</row>
    <row r="822"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</row>
    <row r="823"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</row>
    <row r="824"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</row>
    <row r="825"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</row>
    <row r="826"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</row>
    <row r="827"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</row>
    <row r="828"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</row>
    <row r="829"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</row>
    <row r="830"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</row>
    <row r="831"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</row>
    <row r="832"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</row>
    <row r="833"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</row>
    <row r="834"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</row>
    <row r="835"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</row>
    <row r="836"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</row>
    <row r="837"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</row>
    <row r="838"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</row>
    <row r="839"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</row>
    <row r="840"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</row>
    <row r="841"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</row>
    <row r="842"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</row>
    <row r="843"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</row>
    <row r="844"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</row>
    <row r="845"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</row>
    <row r="846"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</row>
    <row r="847"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</row>
    <row r="848"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</row>
    <row r="849"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</row>
    <row r="850"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</row>
    <row r="851"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</row>
    <row r="852"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</row>
    <row r="853"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</row>
    <row r="854"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</row>
    <row r="855"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</row>
    <row r="856"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</row>
    <row r="857"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</row>
    <row r="858"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</row>
    <row r="859"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</row>
    <row r="860"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</row>
    <row r="861"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</row>
    <row r="862"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</row>
    <row r="863"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</row>
    <row r="864"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</row>
    <row r="865"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</row>
    <row r="866"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</row>
    <row r="867"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</row>
    <row r="868"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</row>
    <row r="869"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</row>
    <row r="870"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</row>
    <row r="871"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</row>
    <row r="872"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</row>
    <row r="873"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</row>
    <row r="874"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</row>
    <row r="875"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</row>
    <row r="876"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</row>
    <row r="877"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</row>
    <row r="878"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</row>
    <row r="879"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</row>
    <row r="880"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</row>
    <row r="881"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</row>
    <row r="882"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</row>
    <row r="883"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</row>
    <row r="884"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</row>
    <row r="885"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</row>
    <row r="886"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</row>
    <row r="887"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</row>
    <row r="888"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</row>
    <row r="889"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</row>
    <row r="890"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</row>
    <row r="891"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</row>
    <row r="892"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</row>
    <row r="893"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</row>
    <row r="894"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</row>
    <row r="895"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</row>
    <row r="896"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</row>
    <row r="897"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</row>
    <row r="898"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</row>
    <row r="899"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</row>
    <row r="900"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</row>
    <row r="901"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</row>
    <row r="902"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</row>
    <row r="903"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</row>
    <row r="904"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</row>
    <row r="905"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</row>
    <row r="906"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</row>
    <row r="907"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</row>
    <row r="908"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</row>
    <row r="909"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</row>
    <row r="910"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</row>
    <row r="911"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</row>
    <row r="912"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</row>
    <row r="913"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</row>
    <row r="914"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</row>
    <row r="915"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</row>
    <row r="916"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</row>
    <row r="917"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</row>
    <row r="918"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</row>
    <row r="919"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</row>
    <row r="920"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</row>
    <row r="921"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</row>
    <row r="922"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</row>
    <row r="923"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</row>
    <row r="924"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</row>
    <row r="925"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</row>
    <row r="926"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</row>
    <row r="927"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</row>
    <row r="928"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</row>
    <row r="929"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</row>
    <row r="930"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</row>
    <row r="931"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</row>
    <row r="932"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</row>
    <row r="933"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</row>
    <row r="934"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</row>
    <row r="935"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</row>
    <row r="936"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</row>
    <row r="937"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</row>
    <row r="938"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</row>
    <row r="939"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</row>
    <row r="940"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</row>
    <row r="941"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</row>
    <row r="942"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</row>
    <row r="943"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</row>
    <row r="944"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</row>
    <row r="945"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</row>
    <row r="946"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</row>
    <row r="947"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</row>
    <row r="948"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</row>
    <row r="949"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</row>
    <row r="950"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</row>
    <row r="951"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</row>
    <row r="952"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</row>
    <row r="953"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</row>
    <row r="954"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</row>
    <row r="955"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</row>
    <row r="956"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</row>
    <row r="957"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</row>
    <row r="958"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</row>
    <row r="959"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</row>
    <row r="960"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</row>
    <row r="961"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</row>
    <row r="962"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</row>
    <row r="963"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</row>
    <row r="964"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</row>
    <row r="965"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</row>
    <row r="966"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</row>
    <row r="967"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</row>
    <row r="968"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</row>
    <row r="969"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</row>
    <row r="970"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</row>
    <row r="971"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</row>
    <row r="972"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</row>
    <row r="973"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</row>
    <row r="974"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</row>
    <row r="975"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</row>
    <row r="976"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</row>
    <row r="977"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</row>
    <row r="978"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</row>
    <row r="979"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</row>
    <row r="980"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</row>
    <row r="981"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</row>
    <row r="982"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</row>
    <row r="983"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</row>
    <row r="984"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</row>
    <row r="985"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</row>
    <row r="986"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</row>
    <row r="987"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</row>
    <row r="988"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</row>
    <row r="989"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</row>
    <row r="990"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</row>
    <row r="991"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</row>
    <row r="992"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</row>
    <row r="993"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</row>
    <row r="994"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</row>
    <row r="995"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</row>
    <row r="996"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</row>
    <row r="997"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</row>
    <row r="998"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</row>
    <row r="999"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</row>
    <row r="1000"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</row>
    <row r="1001">
      <c r="AD1001" s="28"/>
      <c r="AE1001" s="28"/>
      <c r="AF1001" s="28"/>
      <c r="AG1001" s="28"/>
      <c r="AH1001" s="28"/>
      <c r="AI1001" s="28"/>
      <c r="AJ1001" s="28"/>
      <c r="AK1001" s="28"/>
      <c r="AL1001" s="28"/>
      <c r="AM1001" s="28"/>
      <c r="AN1001" s="28"/>
      <c r="AO1001" s="28"/>
      <c r="AP1001" s="28"/>
    </row>
    <row r="1002">
      <c r="AD1002" s="28"/>
      <c r="AE1002" s="28"/>
      <c r="AF1002" s="28"/>
      <c r="AG1002" s="28"/>
      <c r="AH1002" s="28"/>
      <c r="AI1002" s="28"/>
      <c r="AJ1002" s="28"/>
      <c r="AK1002" s="28"/>
      <c r="AL1002" s="28"/>
      <c r="AM1002" s="28"/>
      <c r="AN1002" s="28"/>
      <c r="AO1002" s="28"/>
      <c r="AP1002" s="28"/>
    </row>
  </sheetData>
  <mergeCells count="23">
    <mergeCell ref="AE5:AK5"/>
    <mergeCell ref="AM5:AP6"/>
    <mergeCell ref="AM19:AP26"/>
    <mergeCell ref="AM18:AP18"/>
    <mergeCell ref="I3:AG3"/>
    <mergeCell ref="A4:AG4"/>
    <mergeCell ref="W2:AC2"/>
    <mergeCell ref="AD2:AG2"/>
    <mergeCell ref="A1:H3"/>
    <mergeCell ref="I1:N1"/>
    <mergeCell ref="O1:V1"/>
    <mergeCell ref="W1:AC1"/>
    <mergeCell ref="AD1:AG1"/>
    <mergeCell ref="J5:P5"/>
    <mergeCell ref="Q5:W5"/>
    <mergeCell ref="X5:AD5"/>
    <mergeCell ref="I2:N2"/>
    <mergeCell ref="O2:V2"/>
    <mergeCell ref="A18:B18"/>
    <mergeCell ref="A19:B19"/>
    <mergeCell ref="A20:B20"/>
    <mergeCell ref="A5:B7"/>
    <mergeCell ref="C5:I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26.25"/>
    <col customWidth="1" min="3" max="22" width="4.13"/>
    <col customWidth="1" min="23" max="23" width="4.5"/>
    <col customWidth="1" min="24" max="35" width="4.13"/>
    <col customWidth="1" min="36" max="36" width="5.38"/>
    <col customWidth="1" min="37" max="37" width="3.75"/>
    <col customWidth="1" min="38" max="38" width="5.25"/>
    <col customWidth="1" min="39" max="39" width="4.5"/>
    <col customWidth="1" min="40" max="40" width="4.75"/>
    <col customWidth="1" min="41" max="41" width="6.88"/>
    <col customWidth="1" min="42" max="42" width="13.25"/>
  </cols>
  <sheetData>
    <row r="1" ht="36.75" customHeight="1">
      <c r="A1" s="1" t="s">
        <v>0</v>
      </c>
      <c r="I1" s="2" t="s">
        <v>1</v>
      </c>
      <c r="O1" s="2" t="s">
        <v>2</v>
      </c>
      <c r="W1" s="2" t="s">
        <v>3</v>
      </c>
      <c r="AD1" s="2" t="s">
        <v>4</v>
      </c>
      <c r="AH1" s="3"/>
      <c r="AI1" s="3"/>
      <c r="AJ1" s="3"/>
      <c r="AK1" s="3"/>
      <c r="AL1" s="3"/>
    </row>
    <row r="2">
      <c r="I2" s="2">
        <v>8.0</v>
      </c>
      <c r="O2" s="4">
        <f>COUNTIF(C8:AG12, TRUE)</f>
        <v>1</v>
      </c>
      <c r="W2" s="5" t="str">
        <f>IFERROR(__xludf.DUMMYFUNCTION("SPARKLINE(AD2, {""charttype"",""bar""; ""max"",1;""color1"",""green""; ""empty"",""zero""})"),"")</f>
        <v/>
      </c>
      <c r="X2" s="6"/>
      <c r="Y2" s="6"/>
      <c r="Z2" s="6"/>
      <c r="AA2" s="6"/>
      <c r="AB2" s="6"/>
      <c r="AC2" s="7"/>
      <c r="AD2" s="8">
        <f>SUM(O2) / (COUNTA(C8:AG8) * ROWS(C8:AG15))</f>
        <v>0.004032258065</v>
      </c>
      <c r="AH2" s="3"/>
      <c r="AI2" s="3"/>
      <c r="AJ2" s="3"/>
      <c r="AK2" s="3"/>
      <c r="AL2" s="3"/>
    </row>
    <row r="3">
      <c r="I3" s="9"/>
      <c r="AH3" s="3"/>
      <c r="AI3" s="3"/>
      <c r="AJ3" s="3"/>
      <c r="AK3" s="3"/>
      <c r="AL3" s="3"/>
    </row>
    <row r="4">
      <c r="A4" s="10"/>
      <c r="AH4" s="3"/>
      <c r="AI4" s="3"/>
      <c r="AJ4" s="3"/>
      <c r="AK4" s="3"/>
      <c r="AL4" s="3"/>
      <c r="AM4" s="3"/>
      <c r="AN4" s="3"/>
      <c r="AO4" s="3"/>
      <c r="AP4" s="3"/>
    </row>
    <row r="5">
      <c r="A5" s="11" t="s">
        <v>5</v>
      </c>
      <c r="C5" s="12" t="s">
        <v>6</v>
      </c>
      <c r="J5" s="11" t="s">
        <v>7</v>
      </c>
      <c r="Q5" s="12" t="s">
        <v>8</v>
      </c>
      <c r="X5" s="11" t="s">
        <v>9</v>
      </c>
      <c r="AE5" s="12" t="s">
        <v>10</v>
      </c>
      <c r="AM5" s="13" t="s">
        <v>11</v>
      </c>
    </row>
    <row r="6"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2" t="s">
        <v>17</v>
      </c>
      <c r="I6" s="12" t="s">
        <v>18</v>
      </c>
      <c r="J6" s="11" t="s">
        <v>12</v>
      </c>
      <c r="K6" s="11" t="s">
        <v>13</v>
      </c>
      <c r="L6" s="11" t="s">
        <v>14</v>
      </c>
      <c r="M6" s="11" t="s">
        <v>15</v>
      </c>
      <c r="N6" s="11" t="s">
        <v>16</v>
      </c>
      <c r="O6" s="11" t="s">
        <v>17</v>
      </c>
      <c r="P6" s="11" t="s">
        <v>18</v>
      </c>
      <c r="Q6" s="12" t="s">
        <v>12</v>
      </c>
      <c r="R6" s="12" t="s">
        <v>13</v>
      </c>
      <c r="S6" s="12" t="s">
        <v>14</v>
      </c>
      <c r="T6" s="12" t="s">
        <v>15</v>
      </c>
      <c r="U6" s="12" t="s">
        <v>16</v>
      </c>
      <c r="V6" s="12" t="s">
        <v>17</v>
      </c>
      <c r="W6" s="12" t="s">
        <v>18</v>
      </c>
      <c r="X6" s="11" t="s">
        <v>12</v>
      </c>
      <c r="Y6" s="11" t="s">
        <v>13</v>
      </c>
      <c r="Z6" s="11" t="s">
        <v>14</v>
      </c>
      <c r="AA6" s="11" t="s">
        <v>15</v>
      </c>
      <c r="AB6" s="11" t="s">
        <v>16</v>
      </c>
      <c r="AC6" s="11" t="s">
        <v>17</v>
      </c>
      <c r="AD6" s="11" t="s">
        <v>18</v>
      </c>
      <c r="AE6" s="12" t="s">
        <v>12</v>
      </c>
      <c r="AF6" s="12" t="s">
        <v>13</v>
      </c>
      <c r="AG6" s="12" t="s">
        <v>14</v>
      </c>
      <c r="AH6" s="12" t="s">
        <v>15</v>
      </c>
      <c r="AI6" s="12" t="s">
        <v>16</v>
      </c>
      <c r="AJ6" s="12" t="s">
        <v>17</v>
      </c>
      <c r="AK6" s="12" t="s">
        <v>18</v>
      </c>
      <c r="AL6" s="3"/>
    </row>
    <row r="7">
      <c r="C7" s="12">
        <v>29.0</v>
      </c>
      <c r="D7" s="12">
        <v>30.0</v>
      </c>
      <c r="E7" s="12">
        <v>31.0</v>
      </c>
      <c r="F7" s="12">
        <v>1.0</v>
      </c>
      <c r="G7" s="12">
        <v>2.0</v>
      </c>
      <c r="H7" s="12">
        <v>3.0</v>
      </c>
      <c r="I7" s="12">
        <v>4.0</v>
      </c>
      <c r="J7" s="11">
        <v>5.0</v>
      </c>
      <c r="K7" s="11">
        <v>6.0</v>
      </c>
      <c r="L7" s="11">
        <v>7.0</v>
      </c>
      <c r="M7" s="11">
        <v>8.0</v>
      </c>
      <c r="N7" s="11">
        <v>9.0</v>
      </c>
      <c r="O7" s="11">
        <v>10.0</v>
      </c>
      <c r="P7" s="11">
        <v>11.0</v>
      </c>
      <c r="Q7" s="12">
        <v>12.0</v>
      </c>
      <c r="R7" s="12">
        <v>13.0</v>
      </c>
      <c r="S7" s="12">
        <v>14.0</v>
      </c>
      <c r="T7" s="12">
        <v>15.0</v>
      </c>
      <c r="U7" s="12">
        <v>16.0</v>
      </c>
      <c r="V7" s="12">
        <v>17.0</v>
      </c>
      <c r="W7" s="12">
        <v>18.0</v>
      </c>
      <c r="X7" s="11">
        <v>19.0</v>
      </c>
      <c r="Y7" s="11">
        <v>20.0</v>
      </c>
      <c r="Z7" s="11">
        <v>21.0</v>
      </c>
      <c r="AA7" s="11">
        <v>22.0</v>
      </c>
      <c r="AB7" s="11">
        <v>23.0</v>
      </c>
      <c r="AC7" s="11">
        <v>24.0</v>
      </c>
      <c r="AD7" s="11">
        <v>25.0</v>
      </c>
      <c r="AE7" s="12">
        <v>26.0</v>
      </c>
      <c r="AF7" s="12">
        <v>27.0</v>
      </c>
      <c r="AG7" s="12">
        <v>28.0</v>
      </c>
      <c r="AH7" s="12">
        <v>29.0</v>
      </c>
      <c r="AI7" s="12">
        <v>30.0</v>
      </c>
      <c r="AJ7" s="12">
        <v>31.0</v>
      </c>
      <c r="AK7" s="12">
        <v>32.0</v>
      </c>
      <c r="AL7" s="3"/>
      <c r="AM7" s="14" t="s">
        <v>19</v>
      </c>
      <c r="AN7" s="14" t="s">
        <v>20</v>
      </c>
      <c r="AO7" s="14" t="s">
        <v>21</v>
      </c>
      <c r="AP7" s="14" t="s">
        <v>3</v>
      </c>
    </row>
    <row r="8">
      <c r="A8" s="15">
        <v>1.0</v>
      </c>
      <c r="B8" s="15" t="s">
        <v>22</v>
      </c>
      <c r="C8" s="16" t="b">
        <v>1</v>
      </c>
      <c r="D8" s="16" t="b">
        <v>0</v>
      </c>
      <c r="E8" s="16" t="b">
        <v>0</v>
      </c>
      <c r="F8" s="16" t="b">
        <v>0</v>
      </c>
      <c r="G8" s="16" t="b">
        <v>0</v>
      </c>
      <c r="H8" s="16" t="b">
        <v>0</v>
      </c>
      <c r="I8" s="16" t="b">
        <v>0</v>
      </c>
      <c r="J8" s="17" t="b">
        <v>0</v>
      </c>
      <c r="K8" s="17" t="b">
        <v>0</v>
      </c>
      <c r="L8" s="17" t="b">
        <v>0</v>
      </c>
      <c r="M8" s="17" t="b">
        <v>0</v>
      </c>
      <c r="N8" s="17" t="b">
        <v>0</v>
      </c>
      <c r="O8" s="17" t="b">
        <v>0</v>
      </c>
      <c r="P8" s="17" t="b">
        <v>0</v>
      </c>
      <c r="Q8" s="16" t="b">
        <v>0</v>
      </c>
      <c r="R8" s="16" t="b">
        <v>0</v>
      </c>
      <c r="S8" s="16" t="b">
        <v>0</v>
      </c>
      <c r="T8" s="16" t="b">
        <v>0</v>
      </c>
      <c r="U8" s="16" t="b">
        <v>0</v>
      </c>
      <c r="V8" s="16" t="b">
        <v>0</v>
      </c>
      <c r="W8" s="16" t="b">
        <v>0</v>
      </c>
      <c r="X8" s="17" t="b">
        <v>0</v>
      </c>
      <c r="Y8" s="17" t="b">
        <v>0</v>
      </c>
      <c r="Z8" s="17" t="b">
        <v>0</v>
      </c>
      <c r="AA8" s="17" t="b">
        <v>0</v>
      </c>
      <c r="AB8" s="17" t="b">
        <v>0</v>
      </c>
      <c r="AC8" s="17" t="b">
        <v>0</v>
      </c>
      <c r="AD8" s="17" t="b">
        <v>0</v>
      </c>
      <c r="AE8" s="16" t="b">
        <v>0</v>
      </c>
      <c r="AF8" s="16" t="b">
        <v>0</v>
      </c>
      <c r="AG8" s="16" t="b">
        <v>0</v>
      </c>
      <c r="AH8" s="16" t="b">
        <v>0</v>
      </c>
      <c r="AI8" s="16" t="b">
        <v>0</v>
      </c>
      <c r="AJ8" s="16" t="b">
        <v>0</v>
      </c>
      <c r="AK8" s="16" t="b">
        <v>0</v>
      </c>
      <c r="AL8" s="3"/>
      <c r="AM8" s="18">
        <v>31.0</v>
      </c>
      <c r="AN8" s="18">
        <f t="shared" ref="AN8:AN15" si="1">COUNTIF(C8:AK8, TRUE)</f>
        <v>1</v>
      </c>
      <c r="AO8" s="19">
        <f t="shared" ref="AO8:AO15" si="2">SUM(AN8 / (COUNTA(C8:AK8) * ROWS(C8:AK8)))</f>
        <v>0.02857142857</v>
      </c>
      <c r="AP8" s="20" t="str">
        <f>IFERROR(__xludf.DUMMYFUNCTION("SPARKLINE(AO8, {""charttype"",""bar""; ""max"",1;""color1"",""green""; ""empty"",""zero""})"),"")</f>
        <v/>
      </c>
    </row>
    <row r="9">
      <c r="A9" s="15">
        <v>2.0</v>
      </c>
      <c r="B9" s="15" t="s">
        <v>23</v>
      </c>
      <c r="C9" s="16" t="b">
        <v>0</v>
      </c>
      <c r="D9" s="21" t="b">
        <v>0</v>
      </c>
      <c r="E9" s="16" t="b">
        <v>0</v>
      </c>
      <c r="F9" s="21" t="b">
        <v>0</v>
      </c>
      <c r="G9" s="16" t="b">
        <v>0</v>
      </c>
      <c r="H9" s="21" t="b">
        <v>0</v>
      </c>
      <c r="I9" s="21" t="b">
        <v>0</v>
      </c>
      <c r="J9" s="22" t="b">
        <v>0</v>
      </c>
      <c r="K9" s="22" t="b">
        <v>0</v>
      </c>
      <c r="L9" s="22" t="b">
        <v>0</v>
      </c>
      <c r="M9" s="22" t="b">
        <v>0</v>
      </c>
      <c r="N9" s="22" t="b">
        <v>0</v>
      </c>
      <c r="O9" s="17" t="b">
        <v>0</v>
      </c>
      <c r="P9" s="17" t="b">
        <v>0</v>
      </c>
      <c r="Q9" s="21" t="b">
        <v>0</v>
      </c>
      <c r="R9" s="16" t="b">
        <v>0</v>
      </c>
      <c r="S9" s="16" t="b">
        <v>0</v>
      </c>
      <c r="T9" s="21" t="b">
        <v>0</v>
      </c>
      <c r="U9" s="16" t="b">
        <v>0</v>
      </c>
      <c r="V9" s="16" t="b">
        <v>0</v>
      </c>
      <c r="W9" s="21" t="b">
        <v>0</v>
      </c>
      <c r="X9" s="17" t="b">
        <v>0</v>
      </c>
      <c r="Y9" s="22" t="b">
        <v>0</v>
      </c>
      <c r="Z9" s="22" t="b">
        <v>0</v>
      </c>
      <c r="AA9" s="22" t="b">
        <v>0</v>
      </c>
      <c r="AB9" s="22" t="b">
        <v>0</v>
      </c>
      <c r="AC9" s="22" t="b">
        <v>0</v>
      </c>
      <c r="AD9" s="22" t="b">
        <v>0</v>
      </c>
      <c r="AE9" s="21" t="b">
        <v>0</v>
      </c>
      <c r="AF9" s="21" t="b">
        <v>0</v>
      </c>
      <c r="AG9" s="21" t="b">
        <v>0</v>
      </c>
      <c r="AH9" s="21" t="b">
        <v>0</v>
      </c>
      <c r="AI9" s="21" t="b">
        <v>0</v>
      </c>
      <c r="AJ9" s="16" t="b">
        <v>0</v>
      </c>
      <c r="AK9" s="21" t="b">
        <v>0</v>
      </c>
      <c r="AL9" s="3"/>
      <c r="AM9" s="18">
        <v>31.0</v>
      </c>
      <c r="AN9" s="18">
        <f t="shared" si="1"/>
        <v>0</v>
      </c>
      <c r="AO9" s="19">
        <f t="shared" si="2"/>
        <v>0</v>
      </c>
      <c r="AP9" s="20" t="str">
        <f>IFERROR(__xludf.DUMMYFUNCTION("SPARKLINE(AO9, {""charttype"",""bar""; ""max"",1;""color1"",""green""; ""empty"",""zero""})"),"")</f>
        <v/>
      </c>
    </row>
    <row r="10">
      <c r="A10" s="15">
        <v>3.0</v>
      </c>
      <c r="B10" s="15" t="s">
        <v>24</v>
      </c>
      <c r="C10" s="16" t="b">
        <v>0</v>
      </c>
      <c r="D10" s="21" t="b">
        <v>0</v>
      </c>
      <c r="E10" s="16" t="b">
        <v>0</v>
      </c>
      <c r="F10" s="21" t="b">
        <v>0</v>
      </c>
      <c r="G10" s="16" t="b">
        <v>0</v>
      </c>
      <c r="H10" s="21" t="b">
        <v>0</v>
      </c>
      <c r="I10" s="16" t="b">
        <v>0</v>
      </c>
      <c r="J10" s="22" t="b">
        <v>0</v>
      </c>
      <c r="K10" s="22" t="b">
        <v>0</v>
      </c>
      <c r="L10" s="22" t="b">
        <v>0</v>
      </c>
      <c r="M10" s="22" t="b">
        <v>0</v>
      </c>
      <c r="N10" s="22" t="b">
        <v>0</v>
      </c>
      <c r="O10" s="22" t="b">
        <v>0</v>
      </c>
      <c r="P10" s="17" t="b">
        <v>0</v>
      </c>
      <c r="Q10" s="21" t="b">
        <v>0</v>
      </c>
      <c r="R10" s="21" t="b">
        <v>0</v>
      </c>
      <c r="S10" s="16" t="b">
        <v>0</v>
      </c>
      <c r="T10" s="21" t="b">
        <v>0</v>
      </c>
      <c r="U10" s="16" t="b">
        <v>0</v>
      </c>
      <c r="V10" s="16" t="b">
        <v>0</v>
      </c>
      <c r="W10" s="21" t="b">
        <v>0</v>
      </c>
      <c r="X10" s="17" t="b">
        <v>0</v>
      </c>
      <c r="Y10" s="22" t="b">
        <v>0</v>
      </c>
      <c r="Z10" s="22" t="b">
        <v>0</v>
      </c>
      <c r="AA10" s="22" t="b">
        <v>0</v>
      </c>
      <c r="AB10" s="22" t="b">
        <v>0</v>
      </c>
      <c r="AC10" s="22" t="b">
        <v>0</v>
      </c>
      <c r="AD10" s="22" t="b">
        <v>0</v>
      </c>
      <c r="AE10" s="21" t="b">
        <v>0</v>
      </c>
      <c r="AF10" s="21" t="b">
        <v>0</v>
      </c>
      <c r="AG10" s="21" t="b">
        <v>0</v>
      </c>
      <c r="AH10" s="21" t="b">
        <v>0</v>
      </c>
      <c r="AI10" s="16" t="b">
        <v>0</v>
      </c>
      <c r="AJ10" s="16" t="b">
        <v>0</v>
      </c>
      <c r="AK10" s="21" t="b">
        <v>0</v>
      </c>
      <c r="AM10" s="18">
        <v>31.0</v>
      </c>
      <c r="AN10" s="18">
        <f t="shared" si="1"/>
        <v>0</v>
      </c>
      <c r="AO10" s="19">
        <f t="shared" si="2"/>
        <v>0</v>
      </c>
      <c r="AP10" s="20" t="str">
        <f>IFERROR(__xludf.DUMMYFUNCTION("SPARKLINE(AO10, {""charttype"",""bar""; ""max"",1;""color1"",""green""; ""empty"",""zero""})"),"")</f>
        <v/>
      </c>
    </row>
    <row r="11">
      <c r="A11" s="15">
        <v>4.0</v>
      </c>
      <c r="B11" s="15" t="s">
        <v>25</v>
      </c>
      <c r="C11" s="16" t="b">
        <v>0</v>
      </c>
      <c r="D11" s="16" t="b">
        <v>0</v>
      </c>
      <c r="E11" s="16" t="b">
        <v>0</v>
      </c>
      <c r="F11" s="16" t="b">
        <v>0</v>
      </c>
      <c r="G11" s="16" t="b">
        <v>0</v>
      </c>
      <c r="H11" s="16" t="b">
        <v>0</v>
      </c>
      <c r="I11" s="16" t="b">
        <v>0</v>
      </c>
      <c r="J11" s="22" t="b">
        <v>0</v>
      </c>
      <c r="K11" s="22" t="b">
        <v>0</v>
      </c>
      <c r="L11" s="22" t="b">
        <v>0</v>
      </c>
      <c r="M11" s="22" t="b">
        <v>0</v>
      </c>
      <c r="N11" s="17" t="b">
        <v>0</v>
      </c>
      <c r="O11" s="22" t="b">
        <v>0</v>
      </c>
      <c r="P11" s="22" t="b">
        <v>0</v>
      </c>
      <c r="Q11" s="21" t="b">
        <v>0</v>
      </c>
      <c r="R11" s="16" t="b">
        <v>0</v>
      </c>
      <c r="S11" s="16" t="b">
        <v>0</v>
      </c>
      <c r="T11" s="21" t="b">
        <v>0</v>
      </c>
      <c r="U11" s="16" t="b">
        <v>0</v>
      </c>
      <c r="V11" s="16" t="b">
        <v>0</v>
      </c>
      <c r="W11" s="21" t="b">
        <v>0</v>
      </c>
      <c r="X11" s="17" t="b">
        <v>0</v>
      </c>
      <c r="Y11" s="22" t="b">
        <v>0</v>
      </c>
      <c r="Z11" s="22" t="b">
        <v>0</v>
      </c>
      <c r="AA11" s="22" t="b">
        <v>0</v>
      </c>
      <c r="AB11" s="22" t="b">
        <v>0</v>
      </c>
      <c r="AC11" s="22" t="b">
        <v>0</v>
      </c>
      <c r="AD11" s="22" t="b">
        <v>0</v>
      </c>
      <c r="AE11" s="21" t="b">
        <v>0</v>
      </c>
      <c r="AF11" s="21" t="b">
        <v>0</v>
      </c>
      <c r="AG11" s="21" t="b">
        <v>0</v>
      </c>
      <c r="AH11" s="21" t="b">
        <v>0</v>
      </c>
      <c r="AI11" s="16" t="b">
        <v>0</v>
      </c>
      <c r="AJ11" s="21" t="b">
        <v>0</v>
      </c>
      <c r="AK11" s="21" t="b">
        <v>0</v>
      </c>
      <c r="AM11" s="18">
        <v>31.0</v>
      </c>
      <c r="AN11" s="18">
        <f t="shared" si="1"/>
        <v>0</v>
      </c>
      <c r="AO11" s="19">
        <f t="shared" si="2"/>
        <v>0</v>
      </c>
      <c r="AP11" s="20" t="str">
        <f>IFERROR(__xludf.DUMMYFUNCTION("SPARKLINE(AO11, {""charttype"",""bar""; ""max"",1;""color1"",""green""; ""empty"",""zero""})"),"")</f>
        <v/>
      </c>
    </row>
    <row r="12">
      <c r="A12" s="15">
        <v>5.0</v>
      </c>
      <c r="B12" s="15" t="s">
        <v>26</v>
      </c>
      <c r="C12" s="16" t="b">
        <v>0</v>
      </c>
      <c r="D12" s="16" t="b">
        <v>0</v>
      </c>
      <c r="E12" s="21" t="b">
        <v>0</v>
      </c>
      <c r="F12" s="21" t="b">
        <v>0</v>
      </c>
      <c r="G12" s="16" t="b">
        <v>0</v>
      </c>
      <c r="H12" s="16" t="b">
        <v>0</v>
      </c>
      <c r="I12" s="16" t="b">
        <v>0</v>
      </c>
      <c r="J12" s="22" t="b">
        <v>0</v>
      </c>
      <c r="K12" s="22" t="b">
        <v>0</v>
      </c>
      <c r="L12" s="17" t="b">
        <v>0</v>
      </c>
      <c r="M12" s="17" t="b">
        <v>0</v>
      </c>
      <c r="N12" s="17" t="b">
        <v>0</v>
      </c>
      <c r="O12" s="22" t="b">
        <v>0</v>
      </c>
      <c r="P12" s="22" t="b">
        <v>0</v>
      </c>
      <c r="Q12" s="16" t="b">
        <v>0</v>
      </c>
      <c r="R12" s="16" t="b">
        <v>0</v>
      </c>
      <c r="S12" s="21" t="b">
        <v>0</v>
      </c>
      <c r="T12" s="21" t="b">
        <v>0</v>
      </c>
      <c r="U12" s="16" t="b">
        <v>0</v>
      </c>
      <c r="V12" s="16" t="b">
        <v>0</v>
      </c>
      <c r="W12" s="21" t="b">
        <v>0</v>
      </c>
      <c r="X12" s="17" t="b">
        <v>0</v>
      </c>
      <c r="Y12" s="22" t="b">
        <v>0</v>
      </c>
      <c r="Z12" s="22" t="b">
        <v>0</v>
      </c>
      <c r="AA12" s="22" t="b">
        <v>0</v>
      </c>
      <c r="AB12" s="22" t="b">
        <v>0</v>
      </c>
      <c r="AC12" s="22" t="b">
        <v>0</v>
      </c>
      <c r="AD12" s="22" t="b">
        <v>0</v>
      </c>
      <c r="AE12" s="21" t="b">
        <v>0</v>
      </c>
      <c r="AF12" s="21" t="b">
        <v>0</v>
      </c>
      <c r="AG12" s="21" t="b">
        <v>0</v>
      </c>
      <c r="AH12" s="21" t="b">
        <v>0</v>
      </c>
      <c r="AI12" s="21" t="b">
        <v>0</v>
      </c>
      <c r="AJ12" s="21" t="b">
        <v>0</v>
      </c>
      <c r="AK12" s="21" t="b">
        <v>0</v>
      </c>
      <c r="AM12" s="18">
        <v>31.0</v>
      </c>
      <c r="AN12" s="18">
        <f t="shared" si="1"/>
        <v>0</v>
      </c>
      <c r="AO12" s="19">
        <f t="shared" si="2"/>
        <v>0</v>
      </c>
      <c r="AP12" s="20" t="str">
        <f>IFERROR(__xludf.DUMMYFUNCTION("SPARKLINE(AO12, {""charttype"",""bar""; ""max"",1;""color1"",""green""; ""empty"",""zero""})"),"")</f>
        <v/>
      </c>
    </row>
    <row r="13">
      <c r="A13" s="15">
        <v>6.0</v>
      </c>
      <c r="B13" s="15" t="s">
        <v>27</v>
      </c>
      <c r="C13" s="16" t="b">
        <v>0</v>
      </c>
      <c r="D13" s="21" t="b">
        <v>0</v>
      </c>
      <c r="E13" s="21" t="b">
        <v>0</v>
      </c>
      <c r="F13" s="21" t="b">
        <v>0</v>
      </c>
      <c r="G13" s="21" t="b">
        <v>0</v>
      </c>
      <c r="H13" s="21" t="b">
        <v>0</v>
      </c>
      <c r="I13" s="16" t="b">
        <v>0</v>
      </c>
      <c r="J13" s="17" t="b">
        <v>0</v>
      </c>
      <c r="K13" s="22" t="b">
        <v>0</v>
      </c>
      <c r="L13" s="22" t="b">
        <v>0</v>
      </c>
      <c r="M13" s="22" t="b">
        <v>0</v>
      </c>
      <c r="N13" s="17" t="b">
        <v>0</v>
      </c>
      <c r="O13" s="22" t="b">
        <v>0</v>
      </c>
      <c r="P13" s="22" t="b">
        <v>0</v>
      </c>
      <c r="Q13" s="21" t="b">
        <v>0</v>
      </c>
      <c r="R13" s="16" t="b">
        <v>0</v>
      </c>
      <c r="S13" s="21" t="b">
        <v>0</v>
      </c>
      <c r="T13" s="21" t="b">
        <v>0</v>
      </c>
      <c r="U13" s="16" t="b">
        <v>0</v>
      </c>
      <c r="V13" s="16" t="b">
        <v>0</v>
      </c>
      <c r="W13" s="21" t="b">
        <v>0</v>
      </c>
      <c r="X13" s="17" t="b">
        <v>0</v>
      </c>
      <c r="Y13" s="22" t="b">
        <v>0</v>
      </c>
      <c r="Z13" s="22" t="b">
        <v>0</v>
      </c>
      <c r="AA13" s="22" t="b">
        <v>0</v>
      </c>
      <c r="AB13" s="22" t="b">
        <v>0</v>
      </c>
      <c r="AC13" s="17" t="b">
        <v>0</v>
      </c>
      <c r="AD13" s="22" t="b">
        <v>0</v>
      </c>
      <c r="AE13" s="21" t="b">
        <v>0</v>
      </c>
      <c r="AF13" s="21" t="b">
        <v>0</v>
      </c>
      <c r="AG13" s="21" t="b">
        <v>0</v>
      </c>
      <c r="AH13" s="21" t="b">
        <v>0</v>
      </c>
      <c r="AI13" s="21" t="b">
        <v>0</v>
      </c>
      <c r="AJ13" s="21" t="b">
        <v>0</v>
      </c>
      <c r="AK13" s="21" t="b">
        <v>0</v>
      </c>
      <c r="AM13" s="18">
        <v>31.0</v>
      </c>
      <c r="AN13" s="18">
        <f t="shared" si="1"/>
        <v>0</v>
      </c>
      <c r="AO13" s="19">
        <f t="shared" si="2"/>
        <v>0</v>
      </c>
      <c r="AP13" s="20" t="str">
        <f>IFERROR(__xludf.DUMMYFUNCTION("SPARKLINE(AO13, {""charttype"",""bar""; ""max"",1;""color1"",""green""; ""empty"",""zero""})"),"")</f>
        <v/>
      </c>
    </row>
    <row r="14">
      <c r="A14" s="15">
        <v>7.0</v>
      </c>
      <c r="B14" s="15" t="s">
        <v>28</v>
      </c>
      <c r="C14" s="16" t="b">
        <v>0</v>
      </c>
      <c r="D14" s="16" t="b">
        <v>0</v>
      </c>
      <c r="E14" s="21" t="b">
        <v>0</v>
      </c>
      <c r="F14" s="21" t="b">
        <v>0</v>
      </c>
      <c r="G14" s="16" t="b">
        <v>0</v>
      </c>
      <c r="H14" s="21" t="b">
        <v>0</v>
      </c>
      <c r="I14" s="21" t="b">
        <v>0</v>
      </c>
      <c r="J14" s="17" t="b">
        <v>0</v>
      </c>
      <c r="K14" s="22" t="b">
        <v>0</v>
      </c>
      <c r="L14" s="17" t="b">
        <v>0</v>
      </c>
      <c r="M14" s="17" t="b">
        <v>0</v>
      </c>
      <c r="N14" s="22" t="b">
        <v>0</v>
      </c>
      <c r="O14" s="22" t="b">
        <v>0</v>
      </c>
      <c r="P14" s="22" t="b">
        <v>0</v>
      </c>
      <c r="Q14" s="21" t="b">
        <v>0</v>
      </c>
      <c r="R14" s="16" t="b">
        <v>0</v>
      </c>
      <c r="S14" s="21" t="b">
        <v>0</v>
      </c>
      <c r="T14" s="21" t="b">
        <v>0</v>
      </c>
      <c r="U14" s="16" t="b">
        <v>0</v>
      </c>
      <c r="V14" s="16" t="b">
        <v>0</v>
      </c>
      <c r="W14" s="21" t="b">
        <v>0</v>
      </c>
      <c r="X14" s="17" t="b">
        <v>0</v>
      </c>
      <c r="Y14" s="22" t="b">
        <v>0</v>
      </c>
      <c r="Z14" s="22" t="b">
        <v>0</v>
      </c>
      <c r="AA14" s="22" t="b">
        <v>0</v>
      </c>
      <c r="AB14" s="22" t="b">
        <v>0</v>
      </c>
      <c r="AC14" s="17" t="b">
        <v>0</v>
      </c>
      <c r="AD14" s="22" t="b">
        <v>0</v>
      </c>
      <c r="AE14" s="21" t="b">
        <v>0</v>
      </c>
      <c r="AF14" s="21" t="b">
        <v>0</v>
      </c>
      <c r="AG14" s="16" t="b">
        <v>0</v>
      </c>
      <c r="AH14" s="21" t="b">
        <v>0</v>
      </c>
      <c r="AI14" s="21" t="b">
        <v>0</v>
      </c>
      <c r="AJ14" s="21" t="b">
        <v>0</v>
      </c>
      <c r="AK14" s="16" t="b">
        <v>0</v>
      </c>
      <c r="AM14" s="18">
        <v>31.0</v>
      </c>
      <c r="AN14" s="18">
        <f t="shared" si="1"/>
        <v>0</v>
      </c>
      <c r="AO14" s="19">
        <f t="shared" si="2"/>
        <v>0</v>
      </c>
      <c r="AP14" s="20" t="str">
        <f>IFERROR(__xludf.DUMMYFUNCTION("SPARKLINE(AO14, {""charttype"",""bar""; ""max"",1;""color1"",""green""; ""empty"",""zero""})"),"")</f>
        <v/>
      </c>
    </row>
    <row r="15">
      <c r="A15" s="15">
        <v>8.0</v>
      </c>
      <c r="B15" s="15" t="s">
        <v>29</v>
      </c>
      <c r="C15" s="16" t="b">
        <v>0</v>
      </c>
      <c r="D15" s="21" t="b">
        <v>0</v>
      </c>
      <c r="E15" s="21" t="b">
        <v>0</v>
      </c>
      <c r="F15" s="16" t="b">
        <v>0</v>
      </c>
      <c r="G15" s="21" t="b">
        <v>0</v>
      </c>
      <c r="H15" s="16" t="b">
        <v>0</v>
      </c>
      <c r="I15" s="21" t="b">
        <v>0</v>
      </c>
      <c r="J15" s="17" t="b">
        <v>0</v>
      </c>
      <c r="K15" s="22" t="b">
        <v>0</v>
      </c>
      <c r="L15" s="22" t="b">
        <v>0</v>
      </c>
      <c r="M15" s="17" t="b">
        <v>0</v>
      </c>
      <c r="N15" s="22" t="b">
        <v>0</v>
      </c>
      <c r="O15" s="22" t="b">
        <v>0</v>
      </c>
      <c r="P15" s="22" t="b">
        <v>0</v>
      </c>
      <c r="Q15" s="21" t="b">
        <v>0</v>
      </c>
      <c r="R15" s="16" t="b">
        <v>0</v>
      </c>
      <c r="S15" s="21" t="b">
        <v>0</v>
      </c>
      <c r="T15" s="21" t="b">
        <v>0</v>
      </c>
      <c r="U15" s="16" t="b">
        <v>0</v>
      </c>
      <c r="V15" s="16" t="b">
        <v>0</v>
      </c>
      <c r="W15" s="21" t="b">
        <v>0</v>
      </c>
      <c r="X15" s="17" t="b">
        <v>0</v>
      </c>
      <c r="Y15" s="22" t="b">
        <v>0</v>
      </c>
      <c r="Z15" s="22" t="b">
        <v>0</v>
      </c>
      <c r="AA15" s="22" t="b">
        <v>0</v>
      </c>
      <c r="AB15" s="22" t="b">
        <v>0</v>
      </c>
      <c r="AC15" s="17" t="b">
        <v>0</v>
      </c>
      <c r="AD15" s="22" t="b">
        <v>0</v>
      </c>
      <c r="AE15" s="21" t="b">
        <v>0</v>
      </c>
      <c r="AF15" s="21" t="b">
        <v>0</v>
      </c>
      <c r="AG15" s="16" t="b">
        <v>0</v>
      </c>
      <c r="AH15" s="21" t="b">
        <v>0</v>
      </c>
      <c r="AI15" s="21" t="b">
        <v>0</v>
      </c>
      <c r="AJ15" s="16" t="b">
        <v>0</v>
      </c>
      <c r="AK15" s="16" t="b">
        <v>0</v>
      </c>
      <c r="AM15" s="18">
        <v>31.0</v>
      </c>
      <c r="AN15" s="18">
        <f t="shared" si="1"/>
        <v>0</v>
      </c>
      <c r="AO15" s="19">
        <f t="shared" si="2"/>
        <v>0</v>
      </c>
      <c r="AP15" s="20" t="str">
        <f>IFERROR(__xludf.DUMMYFUNCTION("SPARKLINE(AO15, {""charttype"",""bar""; ""max"",1;""color1"",""green""; ""empty"",""zero""})"),"")</f>
        <v/>
      </c>
    </row>
    <row r="17">
      <c r="A17" s="23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>
      <c r="A18" s="15" t="s">
        <v>3</v>
      </c>
      <c r="C18" s="25">
        <f t="shared" ref="C18:AG18" si="3">IF(COUNTA(C8:C12)=0, 0, COUNTIF(C8:C12, TRUE)/COUNTA(C8:C12))</f>
        <v>0.2</v>
      </c>
      <c r="D18" s="25">
        <f t="shared" si="3"/>
        <v>0</v>
      </c>
      <c r="E18" s="25">
        <f t="shared" si="3"/>
        <v>0</v>
      </c>
      <c r="F18" s="25">
        <f t="shared" si="3"/>
        <v>0</v>
      </c>
      <c r="G18" s="25">
        <f t="shared" si="3"/>
        <v>0</v>
      </c>
      <c r="H18" s="25">
        <f t="shared" si="3"/>
        <v>0</v>
      </c>
      <c r="I18" s="25">
        <f t="shared" si="3"/>
        <v>0</v>
      </c>
      <c r="J18" s="25">
        <f t="shared" si="3"/>
        <v>0</v>
      </c>
      <c r="K18" s="25">
        <f t="shared" si="3"/>
        <v>0</v>
      </c>
      <c r="L18" s="25">
        <f t="shared" si="3"/>
        <v>0</v>
      </c>
      <c r="M18" s="25">
        <f t="shared" si="3"/>
        <v>0</v>
      </c>
      <c r="N18" s="25">
        <f t="shared" si="3"/>
        <v>0</v>
      </c>
      <c r="O18" s="25">
        <f t="shared" si="3"/>
        <v>0</v>
      </c>
      <c r="P18" s="25">
        <f t="shared" si="3"/>
        <v>0</v>
      </c>
      <c r="Q18" s="25">
        <f t="shared" si="3"/>
        <v>0</v>
      </c>
      <c r="R18" s="25">
        <f t="shared" si="3"/>
        <v>0</v>
      </c>
      <c r="S18" s="25">
        <f t="shared" si="3"/>
        <v>0</v>
      </c>
      <c r="T18" s="25">
        <f t="shared" si="3"/>
        <v>0</v>
      </c>
      <c r="U18" s="25">
        <f t="shared" si="3"/>
        <v>0</v>
      </c>
      <c r="V18" s="25">
        <f t="shared" si="3"/>
        <v>0</v>
      </c>
      <c r="W18" s="25">
        <f t="shared" si="3"/>
        <v>0</v>
      </c>
      <c r="X18" s="25">
        <f t="shared" si="3"/>
        <v>0</v>
      </c>
      <c r="Y18" s="25">
        <f t="shared" si="3"/>
        <v>0</v>
      </c>
      <c r="Z18" s="25">
        <f t="shared" si="3"/>
        <v>0</v>
      </c>
      <c r="AA18" s="25">
        <f t="shared" si="3"/>
        <v>0</v>
      </c>
      <c r="AB18" s="25">
        <f t="shared" si="3"/>
        <v>0</v>
      </c>
      <c r="AC18" s="25">
        <f t="shared" si="3"/>
        <v>0</v>
      </c>
      <c r="AD18" s="25">
        <f t="shared" si="3"/>
        <v>0</v>
      </c>
      <c r="AE18" s="25">
        <f t="shared" si="3"/>
        <v>0</v>
      </c>
      <c r="AF18" s="25">
        <f t="shared" si="3"/>
        <v>0</v>
      </c>
      <c r="AG18" s="25">
        <f t="shared" si="3"/>
        <v>0</v>
      </c>
      <c r="AH18" s="3"/>
      <c r="AI18" s="3"/>
      <c r="AJ18" s="3"/>
      <c r="AK18" s="3"/>
      <c r="AL18" s="3"/>
      <c r="AM18" s="11" t="s">
        <v>30</v>
      </c>
    </row>
    <row r="19">
      <c r="A19" s="15" t="s">
        <v>31</v>
      </c>
      <c r="C19" s="26">
        <f t="shared" ref="C19:AG19" si="4">COUNTIF(C8:C12, TRUE)</f>
        <v>1</v>
      </c>
      <c r="D19" s="26">
        <f t="shared" si="4"/>
        <v>0</v>
      </c>
      <c r="E19" s="26">
        <f t="shared" si="4"/>
        <v>0</v>
      </c>
      <c r="F19" s="26">
        <f t="shared" si="4"/>
        <v>0</v>
      </c>
      <c r="G19" s="26">
        <f t="shared" si="4"/>
        <v>0</v>
      </c>
      <c r="H19" s="26">
        <f t="shared" si="4"/>
        <v>0</v>
      </c>
      <c r="I19" s="26">
        <f t="shared" si="4"/>
        <v>0</v>
      </c>
      <c r="J19" s="26">
        <f t="shared" si="4"/>
        <v>0</v>
      </c>
      <c r="K19" s="26">
        <f t="shared" si="4"/>
        <v>0</v>
      </c>
      <c r="L19" s="26">
        <f t="shared" si="4"/>
        <v>0</v>
      </c>
      <c r="M19" s="26">
        <f t="shared" si="4"/>
        <v>0</v>
      </c>
      <c r="N19" s="26">
        <f t="shared" si="4"/>
        <v>0</v>
      </c>
      <c r="O19" s="26">
        <f t="shared" si="4"/>
        <v>0</v>
      </c>
      <c r="P19" s="26">
        <f t="shared" si="4"/>
        <v>0</v>
      </c>
      <c r="Q19" s="26">
        <f t="shared" si="4"/>
        <v>0</v>
      </c>
      <c r="R19" s="26">
        <f t="shared" si="4"/>
        <v>0</v>
      </c>
      <c r="S19" s="26">
        <f t="shared" si="4"/>
        <v>0</v>
      </c>
      <c r="T19" s="26">
        <f t="shared" si="4"/>
        <v>0</v>
      </c>
      <c r="U19" s="26">
        <f t="shared" si="4"/>
        <v>0</v>
      </c>
      <c r="V19" s="26">
        <f t="shared" si="4"/>
        <v>0</v>
      </c>
      <c r="W19" s="26">
        <f t="shared" si="4"/>
        <v>0</v>
      </c>
      <c r="X19" s="26">
        <f t="shared" si="4"/>
        <v>0</v>
      </c>
      <c r="Y19" s="26">
        <f t="shared" si="4"/>
        <v>0</v>
      </c>
      <c r="Z19" s="26">
        <f t="shared" si="4"/>
        <v>0</v>
      </c>
      <c r="AA19" s="26">
        <f t="shared" si="4"/>
        <v>0</v>
      </c>
      <c r="AB19" s="26">
        <f t="shared" si="4"/>
        <v>0</v>
      </c>
      <c r="AC19" s="26">
        <f t="shared" si="4"/>
        <v>0</v>
      </c>
      <c r="AD19" s="26">
        <f t="shared" si="4"/>
        <v>0</v>
      </c>
      <c r="AE19" s="26">
        <f t="shared" si="4"/>
        <v>0</v>
      </c>
      <c r="AF19" s="26">
        <f t="shared" si="4"/>
        <v>0</v>
      </c>
      <c r="AG19" s="26">
        <f t="shared" si="4"/>
        <v>0</v>
      </c>
      <c r="AH19" s="3"/>
      <c r="AI19" s="3"/>
      <c r="AJ19" s="3"/>
      <c r="AK19" s="3"/>
      <c r="AL19" s="3"/>
      <c r="AM19" s="27" t="s">
        <v>32</v>
      </c>
    </row>
    <row r="20">
      <c r="A20" s="15" t="s">
        <v>33</v>
      </c>
      <c r="C20" s="26">
        <f t="shared" ref="C20:AG20" si="5">COUNTIF(C8:C12, FALSE)</f>
        <v>4</v>
      </c>
      <c r="D20" s="26">
        <f t="shared" si="5"/>
        <v>5</v>
      </c>
      <c r="E20" s="26">
        <f t="shared" si="5"/>
        <v>5</v>
      </c>
      <c r="F20" s="26">
        <f t="shared" si="5"/>
        <v>5</v>
      </c>
      <c r="G20" s="26">
        <f t="shared" si="5"/>
        <v>5</v>
      </c>
      <c r="H20" s="26">
        <f t="shared" si="5"/>
        <v>5</v>
      </c>
      <c r="I20" s="26">
        <f t="shared" si="5"/>
        <v>5</v>
      </c>
      <c r="J20" s="26">
        <f t="shared" si="5"/>
        <v>5</v>
      </c>
      <c r="K20" s="26">
        <f t="shared" si="5"/>
        <v>5</v>
      </c>
      <c r="L20" s="26">
        <f t="shared" si="5"/>
        <v>5</v>
      </c>
      <c r="M20" s="26">
        <f t="shared" si="5"/>
        <v>5</v>
      </c>
      <c r="N20" s="26">
        <f t="shared" si="5"/>
        <v>5</v>
      </c>
      <c r="O20" s="26">
        <f t="shared" si="5"/>
        <v>5</v>
      </c>
      <c r="P20" s="26">
        <f t="shared" si="5"/>
        <v>5</v>
      </c>
      <c r="Q20" s="26">
        <f t="shared" si="5"/>
        <v>5</v>
      </c>
      <c r="R20" s="26">
        <f t="shared" si="5"/>
        <v>5</v>
      </c>
      <c r="S20" s="26">
        <f t="shared" si="5"/>
        <v>5</v>
      </c>
      <c r="T20" s="26">
        <f t="shared" si="5"/>
        <v>5</v>
      </c>
      <c r="U20" s="26">
        <f t="shared" si="5"/>
        <v>5</v>
      </c>
      <c r="V20" s="26">
        <f t="shared" si="5"/>
        <v>5</v>
      </c>
      <c r="W20" s="26">
        <f t="shared" si="5"/>
        <v>5</v>
      </c>
      <c r="X20" s="26">
        <f t="shared" si="5"/>
        <v>5</v>
      </c>
      <c r="Y20" s="26">
        <f t="shared" si="5"/>
        <v>5</v>
      </c>
      <c r="Z20" s="26">
        <f t="shared" si="5"/>
        <v>5</v>
      </c>
      <c r="AA20" s="26">
        <f t="shared" si="5"/>
        <v>5</v>
      </c>
      <c r="AB20" s="26">
        <f t="shared" si="5"/>
        <v>5</v>
      </c>
      <c r="AC20" s="26">
        <f t="shared" si="5"/>
        <v>5</v>
      </c>
      <c r="AD20" s="26">
        <f t="shared" si="5"/>
        <v>5</v>
      </c>
      <c r="AE20" s="26">
        <f t="shared" si="5"/>
        <v>5</v>
      </c>
      <c r="AF20" s="26">
        <f t="shared" si="5"/>
        <v>5</v>
      </c>
      <c r="AG20" s="26">
        <f t="shared" si="5"/>
        <v>5</v>
      </c>
      <c r="AH20" s="3"/>
      <c r="AI20" s="3"/>
      <c r="AJ20" s="3"/>
      <c r="AK20" s="3"/>
      <c r="AL20" s="3"/>
    </row>
    <row r="21">
      <c r="AD21" s="28"/>
      <c r="AE21" s="28"/>
      <c r="AF21" s="28"/>
      <c r="AG21" s="28"/>
      <c r="AH21" s="28"/>
      <c r="AI21" s="3"/>
      <c r="AJ21" s="3"/>
      <c r="AK21" s="3"/>
      <c r="AL21" s="3"/>
    </row>
    <row r="22">
      <c r="AD22" s="28"/>
      <c r="AE22" s="28"/>
      <c r="AF22" s="28"/>
      <c r="AG22" s="28"/>
      <c r="AH22" s="28"/>
      <c r="AI22" s="3"/>
      <c r="AJ22" s="3"/>
      <c r="AK22" s="3"/>
      <c r="AL22" s="3"/>
    </row>
    <row r="23">
      <c r="AI23" s="3"/>
      <c r="AJ23" s="3"/>
      <c r="AK23" s="3"/>
      <c r="AL23" s="3"/>
    </row>
    <row r="24">
      <c r="AI24" s="3"/>
      <c r="AJ24" s="3"/>
      <c r="AK24" s="3"/>
      <c r="AL24" s="3"/>
    </row>
    <row r="25">
      <c r="AI25" s="3"/>
      <c r="AJ25" s="3"/>
      <c r="AK25" s="3"/>
      <c r="AL25" s="3"/>
    </row>
    <row r="26">
      <c r="AD26" s="28"/>
      <c r="AE26" s="28"/>
      <c r="AF26" s="28"/>
      <c r="AG26" s="28"/>
      <c r="AH26" s="28"/>
      <c r="AI26" s="3"/>
      <c r="AJ26" s="3"/>
      <c r="AK26" s="3"/>
      <c r="AL26" s="3"/>
    </row>
    <row r="27"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</row>
    <row r="28"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</row>
    <row r="29">
      <c r="AD29" s="28"/>
      <c r="AE29" s="28"/>
      <c r="AF29" s="28"/>
      <c r="AG29" s="28"/>
      <c r="AH29" s="28"/>
      <c r="AM29" s="28"/>
      <c r="AN29" s="28"/>
      <c r="AO29" s="28"/>
      <c r="AP29" s="28"/>
    </row>
    <row r="30">
      <c r="AM30" s="28"/>
      <c r="AN30" s="28"/>
      <c r="AO30" s="28"/>
      <c r="AP30" s="28"/>
    </row>
    <row r="31">
      <c r="AM31" s="28"/>
      <c r="AN31" s="28"/>
      <c r="AO31" s="28"/>
      <c r="AP31" s="28"/>
    </row>
    <row r="32"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</row>
    <row r="33"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</row>
    <row r="34"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</row>
    <row r="35"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</row>
    <row r="36"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</row>
    <row r="37"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</row>
    <row r="38"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</row>
    <row r="39"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</row>
    <row r="40"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</row>
    <row r="41"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</row>
    <row r="42"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</row>
    <row r="43"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</row>
    <row r="44"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</row>
    <row r="45"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</row>
    <row r="46"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</row>
    <row r="47"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</row>
    <row r="48"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</row>
    <row r="49"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</row>
    <row r="50"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</row>
    <row r="51"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</row>
    <row r="52"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</row>
    <row r="53"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</row>
    <row r="54"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</row>
    <row r="55"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</row>
    <row r="56"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</row>
    <row r="57"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</row>
    <row r="58"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</row>
    <row r="59"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</row>
    <row r="60"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</row>
    <row r="61"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</row>
    <row r="62"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</row>
    <row r="63"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</row>
    <row r="64"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</row>
    <row r="65">
      <c r="J65" s="15" t="s">
        <v>27</v>
      </c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</row>
    <row r="66">
      <c r="J66" s="15" t="s">
        <v>25</v>
      </c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</row>
    <row r="67">
      <c r="J67" s="15" t="s">
        <v>34</v>
      </c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</row>
    <row r="68">
      <c r="J68" s="15" t="s">
        <v>26</v>
      </c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</row>
    <row r="69"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</row>
    <row r="70"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</row>
    <row r="71"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</row>
    <row r="72"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</row>
    <row r="73"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</row>
    <row r="74"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</row>
    <row r="75"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</row>
    <row r="76"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</row>
    <row r="77"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</row>
    <row r="78"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</row>
    <row r="79"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</row>
    <row r="80"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</row>
    <row r="81"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</row>
    <row r="82"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</row>
    <row r="83"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</row>
    <row r="84"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</row>
    <row r="85"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</row>
    <row r="86"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</row>
    <row r="87"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</row>
    <row r="88"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</row>
    <row r="89"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</row>
    <row r="90"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</row>
    <row r="91"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</row>
    <row r="92"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</row>
    <row r="93"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</row>
    <row r="94"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</row>
    <row r="95"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</row>
    <row r="96"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</row>
    <row r="97"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</row>
    <row r="98"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</row>
    <row r="99"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</row>
    <row r="100"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</row>
    <row r="101"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</row>
    <row r="102"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</row>
    <row r="103"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</row>
    <row r="104"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</row>
    <row r="105"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</row>
    <row r="106"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</row>
    <row r="107"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</row>
    <row r="108"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</row>
    <row r="109"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</row>
    <row r="110"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</row>
    <row r="111"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</row>
    <row r="112"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</row>
    <row r="113"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</row>
    <row r="114"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</row>
    <row r="115"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</row>
    <row r="116"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</row>
    <row r="117"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</row>
    <row r="118"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</row>
    <row r="119"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</row>
    <row r="120"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</row>
    <row r="121"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</row>
    <row r="122"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</row>
    <row r="123"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</row>
    <row r="124"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</row>
    <row r="125"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</row>
    <row r="126"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</row>
    <row r="127"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</row>
    <row r="128"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</row>
    <row r="129"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</row>
    <row r="130"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</row>
    <row r="131"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</row>
    <row r="132"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</row>
    <row r="133"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</row>
    <row r="134"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</row>
    <row r="135"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</row>
    <row r="136"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</row>
    <row r="137"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</row>
    <row r="138"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</row>
    <row r="139"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</row>
    <row r="140"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</row>
    <row r="141"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</row>
    <row r="142"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</row>
    <row r="143"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</row>
    <row r="144"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</row>
    <row r="145"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</row>
    <row r="146"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</row>
    <row r="147"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</row>
    <row r="148"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</row>
    <row r="149"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</row>
    <row r="150"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</row>
    <row r="151"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</row>
    <row r="152"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</row>
    <row r="153"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</row>
    <row r="154"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</row>
    <row r="155"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</row>
    <row r="156"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</row>
    <row r="157"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</row>
    <row r="158"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</row>
    <row r="159"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</row>
    <row r="160"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</row>
    <row r="161"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</row>
    <row r="162"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</row>
    <row r="163"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</row>
    <row r="164"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</row>
    <row r="165"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</row>
    <row r="166"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</row>
    <row r="167"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</row>
    <row r="168"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</row>
    <row r="169"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</row>
    <row r="170"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</row>
    <row r="171"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</row>
    <row r="172"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</row>
    <row r="173"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</row>
    <row r="174"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</row>
    <row r="175"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</row>
    <row r="176"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</row>
    <row r="177"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</row>
    <row r="178"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</row>
    <row r="179"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</row>
    <row r="180"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</row>
    <row r="181"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</row>
    <row r="182"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</row>
    <row r="183"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</row>
    <row r="184"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</row>
    <row r="185"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</row>
    <row r="186"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</row>
    <row r="187"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</row>
    <row r="188"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</row>
    <row r="189"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</row>
    <row r="190"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</row>
    <row r="191"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</row>
    <row r="192"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</row>
    <row r="193"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</row>
    <row r="194"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</row>
    <row r="195"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</row>
    <row r="196"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</row>
    <row r="197"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</row>
    <row r="198"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</row>
    <row r="199"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</row>
    <row r="200"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</row>
    <row r="201"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</row>
    <row r="202"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</row>
    <row r="203"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</row>
    <row r="204"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</row>
    <row r="205"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</row>
    <row r="206"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</row>
    <row r="207"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</row>
    <row r="208"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</row>
    <row r="209"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</row>
    <row r="210"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</row>
    <row r="211"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</row>
    <row r="212"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</row>
    <row r="213"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</row>
    <row r="214"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</row>
    <row r="215"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</row>
    <row r="216"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</row>
    <row r="217"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</row>
    <row r="218"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</row>
    <row r="219"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</row>
    <row r="220"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</row>
    <row r="221"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</row>
    <row r="222"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</row>
    <row r="223"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</row>
    <row r="224"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</row>
    <row r="225"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</row>
    <row r="226"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</row>
    <row r="227"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</row>
    <row r="228"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</row>
    <row r="229"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</row>
    <row r="230"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</row>
    <row r="231"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</row>
    <row r="232"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</row>
    <row r="233"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</row>
    <row r="234"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</row>
    <row r="235"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</row>
    <row r="236"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</row>
    <row r="237"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</row>
    <row r="238"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</row>
    <row r="239"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</row>
    <row r="240"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</row>
    <row r="241"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</row>
    <row r="242"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</row>
    <row r="243"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</row>
    <row r="244"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</row>
    <row r="245"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</row>
    <row r="246"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</row>
    <row r="247"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</row>
    <row r="248"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</row>
    <row r="249"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</row>
    <row r="250"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</row>
    <row r="251"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</row>
    <row r="252"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</row>
    <row r="253"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</row>
    <row r="254"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</row>
    <row r="255"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</row>
    <row r="256"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</row>
    <row r="257"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</row>
    <row r="258"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</row>
    <row r="259"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</row>
    <row r="260"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</row>
    <row r="261"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</row>
    <row r="262"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</row>
    <row r="263"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</row>
    <row r="264"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</row>
    <row r="265"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</row>
    <row r="266"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</row>
    <row r="267"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</row>
    <row r="268"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</row>
    <row r="269"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</row>
    <row r="270"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</row>
    <row r="271"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</row>
    <row r="272"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</row>
    <row r="273"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</row>
    <row r="274"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</row>
    <row r="275"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</row>
    <row r="276"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</row>
    <row r="277"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</row>
    <row r="278"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</row>
    <row r="279"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</row>
    <row r="280"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</row>
    <row r="281"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</row>
    <row r="282"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</row>
    <row r="283"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</row>
    <row r="284"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</row>
    <row r="285"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</row>
    <row r="286"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</row>
    <row r="287"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</row>
    <row r="288"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</row>
    <row r="289"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</row>
    <row r="290"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</row>
    <row r="291"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</row>
    <row r="292"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</row>
    <row r="293"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</row>
    <row r="294"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</row>
    <row r="295"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</row>
    <row r="296"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</row>
    <row r="297"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</row>
    <row r="298"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</row>
    <row r="299"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</row>
    <row r="300"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</row>
    <row r="301"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</row>
    <row r="302"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</row>
    <row r="303"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</row>
    <row r="304"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</row>
    <row r="305"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</row>
    <row r="306"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</row>
    <row r="307"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</row>
    <row r="308"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</row>
    <row r="309"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</row>
    <row r="310"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</row>
    <row r="311"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</row>
    <row r="312"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</row>
    <row r="313"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</row>
    <row r="314"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</row>
    <row r="315"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</row>
    <row r="316"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</row>
    <row r="317"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</row>
    <row r="318"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</row>
    <row r="319"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</row>
    <row r="320"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</row>
    <row r="321"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</row>
    <row r="322"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</row>
    <row r="323"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</row>
    <row r="324"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</row>
    <row r="325"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</row>
    <row r="326"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</row>
    <row r="327"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</row>
    <row r="328"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</row>
    <row r="329"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</row>
    <row r="330"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</row>
    <row r="331"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</row>
    <row r="332"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</row>
    <row r="333"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</row>
    <row r="334"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</row>
    <row r="335"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</row>
    <row r="336"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</row>
    <row r="337"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</row>
    <row r="338"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</row>
    <row r="339"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</row>
    <row r="340"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</row>
    <row r="341"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</row>
    <row r="342"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</row>
    <row r="343"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</row>
    <row r="344"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</row>
    <row r="345"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</row>
    <row r="346"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</row>
    <row r="347"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</row>
    <row r="348"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</row>
    <row r="349"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</row>
    <row r="350"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</row>
    <row r="351"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</row>
    <row r="352"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</row>
    <row r="353"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</row>
    <row r="354"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</row>
    <row r="355"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</row>
    <row r="356"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</row>
    <row r="357"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</row>
    <row r="358"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</row>
    <row r="359"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</row>
    <row r="360"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</row>
    <row r="361"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</row>
    <row r="362"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</row>
    <row r="363"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</row>
    <row r="364"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</row>
    <row r="365"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</row>
    <row r="366"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</row>
    <row r="367"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</row>
    <row r="368"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</row>
    <row r="369"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</row>
    <row r="370"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</row>
    <row r="371"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</row>
    <row r="372"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</row>
    <row r="373"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</row>
    <row r="374"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</row>
    <row r="375"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</row>
    <row r="376"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</row>
    <row r="377"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</row>
    <row r="378"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</row>
    <row r="379"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</row>
    <row r="380"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</row>
    <row r="381"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</row>
    <row r="382"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</row>
    <row r="383"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</row>
    <row r="384"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</row>
    <row r="385"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</row>
    <row r="386"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</row>
    <row r="387"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</row>
    <row r="388"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</row>
    <row r="389"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</row>
    <row r="390"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</row>
    <row r="391"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</row>
    <row r="392"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</row>
    <row r="393"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</row>
    <row r="394"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</row>
    <row r="395"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</row>
    <row r="396"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</row>
    <row r="397"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</row>
    <row r="398"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</row>
    <row r="399"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</row>
    <row r="400"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</row>
    <row r="401"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</row>
    <row r="402"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</row>
    <row r="403"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</row>
    <row r="404"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</row>
    <row r="405"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</row>
    <row r="406"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</row>
    <row r="407"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</row>
    <row r="408"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</row>
    <row r="409"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</row>
    <row r="410"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</row>
    <row r="411"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</row>
    <row r="412"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</row>
    <row r="413"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</row>
    <row r="414"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</row>
    <row r="415"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</row>
    <row r="416"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</row>
    <row r="417"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</row>
    <row r="418"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</row>
    <row r="419"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</row>
    <row r="420"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</row>
    <row r="421"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</row>
    <row r="422"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</row>
    <row r="423"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</row>
    <row r="424"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</row>
    <row r="425"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</row>
    <row r="426"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</row>
    <row r="427"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</row>
    <row r="428"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</row>
    <row r="429"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</row>
    <row r="430"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</row>
    <row r="431"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</row>
    <row r="432"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</row>
    <row r="433"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</row>
    <row r="434"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</row>
    <row r="435"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</row>
    <row r="436"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</row>
    <row r="437"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</row>
    <row r="438"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</row>
    <row r="439"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</row>
    <row r="440"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</row>
    <row r="441"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</row>
    <row r="442"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</row>
    <row r="443"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</row>
    <row r="444"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</row>
    <row r="445"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</row>
    <row r="446"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</row>
    <row r="447"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</row>
    <row r="448"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</row>
    <row r="449"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</row>
    <row r="450"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</row>
    <row r="451"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</row>
    <row r="452"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</row>
    <row r="453"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</row>
    <row r="454"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</row>
    <row r="455"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</row>
    <row r="456"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</row>
    <row r="457"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</row>
    <row r="458"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</row>
    <row r="459"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</row>
    <row r="460"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</row>
    <row r="461"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</row>
    <row r="462"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</row>
    <row r="463"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</row>
    <row r="464"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</row>
    <row r="465"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</row>
    <row r="466"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</row>
    <row r="467"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</row>
    <row r="468"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</row>
    <row r="469"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</row>
    <row r="470"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</row>
    <row r="471"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</row>
    <row r="472"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</row>
    <row r="473"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</row>
    <row r="474"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</row>
    <row r="475"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</row>
    <row r="476"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</row>
    <row r="477"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</row>
    <row r="478"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</row>
    <row r="479"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</row>
    <row r="480"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</row>
    <row r="481"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</row>
    <row r="482"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</row>
    <row r="483"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</row>
    <row r="484"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</row>
    <row r="485"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</row>
    <row r="486"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</row>
    <row r="487"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</row>
    <row r="488"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</row>
    <row r="489"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</row>
    <row r="490"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</row>
    <row r="491"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</row>
    <row r="492"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</row>
    <row r="493"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</row>
    <row r="494"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</row>
    <row r="495"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</row>
    <row r="496"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</row>
    <row r="497"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</row>
    <row r="498"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</row>
    <row r="499"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</row>
    <row r="500"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</row>
    <row r="501"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</row>
    <row r="502"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</row>
    <row r="503"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</row>
    <row r="504"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</row>
    <row r="505"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</row>
    <row r="506"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</row>
    <row r="507"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</row>
    <row r="508"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</row>
    <row r="509"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</row>
    <row r="510"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</row>
    <row r="511"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</row>
    <row r="512"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</row>
    <row r="513"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</row>
    <row r="514"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</row>
    <row r="515"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</row>
    <row r="516"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</row>
    <row r="517"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</row>
    <row r="518"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</row>
    <row r="519"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</row>
    <row r="520"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</row>
    <row r="521"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</row>
    <row r="522"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</row>
    <row r="523"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</row>
    <row r="524"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</row>
    <row r="525"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</row>
    <row r="526"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</row>
    <row r="527"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</row>
    <row r="528"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</row>
    <row r="529"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</row>
    <row r="530"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</row>
    <row r="531"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</row>
    <row r="532"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</row>
    <row r="533"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</row>
    <row r="534"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</row>
    <row r="535"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</row>
    <row r="536"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</row>
    <row r="537"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</row>
    <row r="538"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</row>
    <row r="539"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</row>
    <row r="540"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</row>
    <row r="541"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</row>
    <row r="542"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</row>
    <row r="543"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</row>
    <row r="544"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</row>
    <row r="545"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</row>
    <row r="546"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</row>
    <row r="547"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</row>
    <row r="548"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</row>
    <row r="549"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</row>
    <row r="550"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</row>
    <row r="551"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</row>
    <row r="552"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</row>
    <row r="553"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</row>
    <row r="554"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</row>
    <row r="555"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</row>
    <row r="556"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</row>
    <row r="557"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</row>
    <row r="558"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</row>
    <row r="559"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</row>
    <row r="560"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</row>
    <row r="561"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</row>
    <row r="562"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</row>
    <row r="563"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</row>
    <row r="564"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</row>
    <row r="565"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</row>
    <row r="566"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</row>
    <row r="567"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</row>
    <row r="568"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</row>
    <row r="569"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</row>
    <row r="570"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</row>
    <row r="571"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</row>
    <row r="572"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</row>
    <row r="573"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</row>
    <row r="574"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</row>
    <row r="575"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</row>
    <row r="576"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</row>
    <row r="577"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</row>
    <row r="578"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</row>
    <row r="579"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</row>
    <row r="580"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</row>
    <row r="581"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</row>
    <row r="582"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</row>
    <row r="583"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</row>
    <row r="584"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</row>
    <row r="585"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</row>
    <row r="586"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</row>
    <row r="587"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</row>
    <row r="588"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</row>
    <row r="589"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</row>
    <row r="590"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</row>
    <row r="591"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</row>
    <row r="592"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</row>
    <row r="593"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</row>
    <row r="594"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</row>
    <row r="595"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</row>
    <row r="596"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</row>
    <row r="597"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</row>
    <row r="598"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</row>
    <row r="599"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</row>
    <row r="600"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</row>
    <row r="601"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</row>
    <row r="602"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</row>
    <row r="603"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</row>
    <row r="604"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</row>
    <row r="605"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</row>
    <row r="606"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</row>
    <row r="607"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</row>
    <row r="608"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</row>
    <row r="609"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</row>
    <row r="610"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</row>
    <row r="611"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</row>
    <row r="612"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</row>
    <row r="613"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</row>
    <row r="614"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</row>
    <row r="615"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</row>
    <row r="616"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</row>
    <row r="617"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</row>
    <row r="618"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</row>
    <row r="619"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</row>
    <row r="620"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</row>
    <row r="621"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</row>
    <row r="622"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</row>
    <row r="623"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</row>
    <row r="624"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</row>
    <row r="625"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</row>
    <row r="626"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</row>
    <row r="627"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</row>
    <row r="628"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</row>
    <row r="629"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</row>
    <row r="630"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</row>
    <row r="631"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</row>
    <row r="632"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</row>
    <row r="633"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</row>
    <row r="634"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</row>
    <row r="635"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</row>
    <row r="636"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</row>
    <row r="637"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</row>
    <row r="638"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</row>
    <row r="639"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</row>
    <row r="640"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</row>
    <row r="641"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</row>
    <row r="642"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</row>
    <row r="643"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</row>
    <row r="644"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</row>
    <row r="645"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</row>
    <row r="646"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</row>
    <row r="647"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</row>
    <row r="648"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</row>
    <row r="649"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</row>
    <row r="650"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</row>
    <row r="651"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</row>
    <row r="652"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</row>
    <row r="653"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</row>
    <row r="654"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</row>
    <row r="655"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</row>
    <row r="656"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</row>
    <row r="657"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</row>
    <row r="658"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</row>
    <row r="659"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</row>
    <row r="660"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</row>
    <row r="661"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</row>
    <row r="662"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</row>
    <row r="663"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</row>
    <row r="664"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</row>
    <row r="665"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</row>
    <row r="666"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</row>
    <row r="667"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</row>
    <row r="668"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</row>
    <row r="669"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</row>
    <row r="670"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</row>
    <row r="671"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</row>
    <row r="672"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</row>
    <row r="673"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</row>
    <row r="674"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</row>
    <row r="675"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</row>
    <row r="676"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</row>
    <row r="677"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</row>
    <row r="678"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</row>
    <row r="679"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</row>
    <row r="680"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</row>
    <row r="681"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</row>
    <row r="682"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</row>
    <row r="683"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</row>
    <row r="684"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</row>
    <row r="685"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</row>
    <row r="686"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</row>
    <row r="687"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</row>
    <row r="688"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</row>
    <row r="689"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</row>
    <row r="690"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</row>
    <row r="691"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</row>
    <row r="692"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</row>
    <row r="693"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</row>
    <row r="694"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</row>
    <row r="695"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</row>
    <row r="696"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</row>
    <row r="697"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</row>
    <row r="698"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</row>
    <row r="699"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</row>
    <row r="700"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</row>
    <row r="701"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</row>
    <row r="702"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</row>
    <row r="703"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</row>
    <row r="704"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</row>
    <row r="705"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</row>
    <row r="706"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</row>
    <row r="707"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</row>
    <row r="708"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</row>
    <row r="709"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</row>
    <row r="710"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</row>
    <row r="711"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</row>
    <row r="712"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</row>
    <row r="713"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</row>
    <row r="714"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</row>
    <row r="715"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</row>
    <row r="716"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</row>
    <row r="717"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</row>
    <row r="718"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</row>
    <row r="719"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</row>
    <row r="720"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</row>
    <row r="721"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</row>
    <row r="722"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</row>
    <row r="723"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</row>
    <row r="724"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</row>
    <row r="725"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</row>
    <row r="726"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</row>
    <row r="727"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</row>
    <row r="728"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</row>
    <row r="729"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</row>
    <row r="730"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</row>
    <row r="731"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</row>
    <row r="732"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</row>
    <row r="733"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</row>
    <row r="734"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</row>
    <row r="735"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</row>
    <row r="736"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</row>
    <row r="737"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</row>
    <row r="738"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</row>
    <row r="739"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</row>
    <row r="740"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</row>
    <row r="741"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</row>
    <row r="742"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</row>
    <row r="743"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</row>
    <row r="744"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</row>
    <row r="745"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</row>
    <row r="746"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</row>
    <row r="747"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</row>
    <row r="748"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</row>
    <row r="749"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</row>
    <row r="750"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</row>
    <row r="751"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</row>
    <row r="752"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</row>
    <row r="753"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</row>
    <row r="754"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</row>
    <row r="755"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</row>
    <row r="756"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</row>
    <row r="757"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</row>
    <row r="758"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</row>
    <row r="759"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</row>
    <row r="760"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</row>
    <row r="761"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</row>
    <row r="762"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</row>
    <row r="763"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</row>
    <row r="764"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</row>
    <row r="765"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</row>
    <row r="766"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</row>
    <row r="767"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</row>
    <row r="768"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</row>
    <row r="769"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</row>
    <row r="770"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</row>
    <row r="771"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</row>
    <row r="772"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</row>
    <row r="773"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</row>
    <row r="774"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</row>
    <row r="775"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</row>
    <row r="776"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</row>
    <row r="777"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</row>
    <row r="778"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</row>
    <row r="779"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</row>
    <row r="780"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</row>
    <row r="781"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</row>
    <row r="782"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</row>
    <row r="783"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</row>
    <row r="784"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</row>
    <row r="785"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</row>
    <row r="786"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</row>
    <row r="787"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</row>
    <row r="788"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</row>
    <row r="789"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</row>
    <row r="790"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</row>
    <row r="791"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</row>
    <row r="792"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</row>
    <row r="793"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</row>
    <row r="794"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</row>
    <row r="795"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</row>
    <row r="796"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</row>
    <row r="797"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</row>
    <row r="798"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</row>
    <row r="799"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</row>
    <row r="800"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</row>
    <row r="801"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</row>
    <row r="802"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</row>
    <row r="803"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</row>
    <row r="804"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</row>
    <row r="805"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</row>
    <row r="806"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</row>
    <row r="807"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</row>
    <row r="808"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</row>
    <row r="809"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</row>
    <row r="810"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</row>
    <row r="811"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</row>
    <row r="812"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</row>
    <row r="813"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</row>
    <row r="814"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</row>
    <row r="815"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</row>
    <row r="816"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</row>
    <row r="817"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</row>
    <row r="818"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</row>
    <row r="819"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</row>
    <row r="820"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</row>
    <row r="821"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</row>
    <row r="822"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</row>
    <row r="823"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</row>
    <row r="824"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</row>
    <row r="825"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</row>
    <row r="826"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</row>
    <row r="827"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</row>
    <row r="828"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</row>
    <row r="829"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</row>
    <row r="830"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</row>
    <row r="831"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</row>
    <row r="832"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</row>
    <row r="833"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</row>
    <row r="834"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</row>
    <row r="835"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</row>
    <row r="836"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</row>
    <row r="837"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</row>
    <row r="838"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</row>
    <row r="839"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</row>
    <row r="840"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</row>
    <row r="841"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</row>
    <row r="842"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</row>
    <row r="843"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</row>
    <row r="844"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</row>
    <row r="845"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</row>
    <row r="846"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</row>
    <row r="847"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</row>
    <row r="848"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</row>
    <row r="849"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</row>
    <row r="850"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</row>
    <row r="851"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</row>
    <row r="852"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</row>
    <row r="853"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</row>
    <row r="854"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</row>
    <row r="855"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</row>
    <row r="856"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</row>
    <row r="857"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</row>
    <row r="858"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</row>
    <row r="859"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</row>
    <row r="860"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</row>
    <row r="861"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</row>
    <row r="862"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</row>
    <row r="863"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</row>
    <row r="864"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</row>
    <row r="865"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</row>
    <row r="866"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</row>
    <row r="867"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</row>
    <row r="868"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</row>
    <row r="869"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</row>
    <row r="870"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</row>
    <row r="871"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</row>
    <row r="872"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</row>
    <row r="873"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</row>
    <row r="874"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</row>
    <row r="875"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</row>
    <row r="876"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</row>
    <row r="877"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</row>
    <row r="878"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</row>
    <row r="879"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</row>
    <row r="880"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</row>
    <row r="881"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</row>
    <row r="882"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</row>
    <row r="883"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</row>
    <row r="884"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</row>
    <row r="885"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</row>
    <row r="886"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</row>
    <row r="887"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</row>
    <row r="888"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</row>
    <row r="889"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</row>
    <row r="890"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</row>
    <row r="891"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</row>
    <row r="892"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</row>
    <row r="893"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</row>
    <row r="894"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</row>
    <row r="895"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</row>
    <row r="896"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</row>
    <row r="897"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</row>
    <row r="898"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</row>
    <row r="899"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</row>
    <row r="900"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</row>
    <row r="901"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</row>
    <row r="902"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</row>
    <row r="903"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</row>
    <row r="904"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</row>
    <row r="905"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</row>
    <row r="906"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</row>
    <row r="907"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</row>
    <row r="908"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</row>
    <row r="909"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</row>
    <row r="910"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</row>
    <row r="911"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</row>
    <row r="912"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</row>
    <row r="913"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</row>
    <row r="914"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</row>
    <row r="915"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</row>
    <row r="916"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</row>
    <row r="917"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</row>
    <row r="918"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</row>
    <row r="919"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</row>
    <row r="920"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</row>
    <row r="921"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</row>
    <row r="922"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</row>
    <row r="923"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</row>
    <row r="924"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</row>
    <row r="925"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</row>
    <row r="926"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</row>
    <row r="927"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</row>
    <row r="928"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</row>
    <row r="929"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</row>
    <row r="930"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</row>
    <row r="931"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</row>
    <row r="932"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</row>
    <row r="933"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</row>
    <row r="934"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</row>
    <row r="935"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</row>
    <row r="936"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</row>
    <row r="937"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</row>
    <row r="938"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</row>
    <row r="939"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</row>
    <row r="940"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</row>
    <row r="941"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</row>
    <row r="942"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</row>
    <row r="943"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</row>
    <row r="944"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</row>
    <row r="945"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</row>
    <row r="946"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</row>
    <row r="947"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</row>
    <row r="948"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</row>
    <row r="949"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</row>
    <row r="950"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</row>
    <row r="951"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</row>
    <row r="952"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</row>
    <row r="953"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</row>
    <row r="954"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</row>
    <row r="955"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</row>
    <row r="956"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</row>
    <row r="957"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</row>
    <row r="958"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</row>
    <row r="959"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</row>
    <row r="960"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</row>
    <row r="961"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</row>
    <row r="962"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</row>
    <row r="963"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</row>
    <row r="964"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</row>
    <row r="965"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</row>
    <row r="966"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</row>
    <row r="967"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</row>
    <row r="968"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</row>
    <row r="969"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</row>
    <row r="970"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</row>
    <row r="971"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</row>
    <row r="972"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</row>
    <row r="973"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</row>
    <row r="974"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</row>
    <row r="975"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</row>
    <row r="976"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</row>
    <row r="977"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</row>
    <row r="978"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</row>
    <row r="979"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</row>
    <row r="980"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</row>
    <row r="981"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</row>
    <row r="982"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</row>
    <row r="983"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</row>
    <row r="984"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</row>
    <row r="985"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</row>
    <row r="986"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</row>
    <row r="987"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</row>
    <row r="988"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</row>
    <row r="989"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</row>
    <row r="990"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</row>
    <row r="991"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</row>
    <row r="992"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</row>
    <row r="993"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</row>
    <row r="994"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</row>
    <row r="995"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</row>
    <row r="996"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</row>
    <row r="997"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</row>
    <row r="998"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</row>
    <row r="999"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</row>
    <row r="1000"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</row>
    <row r="1001">
      <c r="AD1001" s="28"/>
      <c r="AE1001" s="28"/>
      <c r="AF1001" s="28"/>
      <c r="AG1001" s="28"/>
      <c r="AH1001" s="28"/>
      <c r="AI1001" s="28"/>
      <c r="AJ1001" s="28"/>
      <c r="AK1001" s="28"/>
      <c r="AL1001" s="28"/>
      <c r="AM1001" s="28"/>
      <c r="AN1001" s="28"/>
      <c r="AO1001" s="28"/>
      <c r="AP1001" s="28"/>
    </row>
    <row r="1002">
      <c r="AD1002" s="28"/>
      <c r="AE1002" s="28"/>
      <c r="AF1002" s="28"/>
      <c r="AG1002" s="28"/>
      <c r="AH1002" s="28"/>
      <c r="AI1002" s="28"/>
      <c r="AJ1002" s="28"/>
      <c r="AK1002" s="28"/>
      <c r="AL1002" s="28"/>
      <c r="AM1002" s="28"/>
      <c r="AN1002" s="28"/>
      <c r="AO1002" s="28"/>
      <c r="AP1002" s="28"/>
    </row>
  </sheetData>
  <mergeCells count="23">
    <mergeCell ref="C5:I5"/>
    <mergeCell ref="A1:H3"/>
    <mergeCell ref="I1:N1"/>
    <mergeCell ref="I2:N2"/>
    <mergeCell ref="A18:B18"/>
    <mergeCell ref="A19:B19"/>
    <mergeCell ref="A20:B20"/>
    <mergeCell ref="A5:B7"/>
    <mergeCell ref="O1:V1"/>
    <mergeCell ref="W1:AC1"/>
    <mergeCell ref="AD1:AG1"/>
    <mergeCell ref="J5:P5"/>
    <mergeCell ref="Q5:W5"/>
    <mergeCell ref="AM19:AP26"/>
    <mergeCell ref="AM18:AP18"/>
    <mergeCell ref="AE5:AK5"/>
    <mergeCell ref="AM5:AP6"/>
    <mergeCell ref="W2:AC2"/>
    <mergeCell ref="AD2:AG2"/>
    <mergeCell ref="I3:AG3"/>
    <mergeCell ref="O2:V2"/>
    <mergeCell ref="X5:AD5"/>
    <mergeCell ref="A4:AG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26.25"/>
    <col customWidth="1" min="3" max="22" width="4.13"/>
    <col customWidth="1" min="23" max="23" width="4.5"/>
    <col customWidth="1" min="24" max="35" width="4.13"/>
    <col customWidth="1" min="36" max="36" width="5.38"/>
    <col customWidth="1" min="37" max="37" width="3.75"/>
    <col customWidth="1" min="38" max="38" width="5.25"/>
    <col customWidth="1" min="39" max="39" width="4.5"/>
    <col customWidth="1" min="40" max="40" width="4.75"/>
    <col customWidth="1" min="41" max="41" width="6.88"/>
    <col customWidth="1" min="42" max="42" width="13.25"/>
  </cols>
  <sheetData>
    <row r="1" ht="36.75" customHeight="1">
      <c r="A1" s="1" t="s">
        <v>0</v>
      </c>
      <c r="I1" s="2" t="s">
        <v>1</v>
      </c>
      <c r="O1" s="2" t="s">
        <v>2</v>
      </c>
      <c r="W1" s="2" t="s">
        <v>3</v>
      </c>
      <c r="AD1" s="2" t="s">
        <v>4</v>
      </c>
      <c r="AH1" s="3"/>
      <c r="AI1" s="3"/>
      <c r="AJ1" s="3"/>
      <c r="AK1" s="3"/>
      <c r="AL1" s="3"/>
    </row>
    <row r="2">
      <c r="I2" s="2">
        <v>8.0</v>
      </c>
      <c r="O2" s="4">
        <f>COUNTIF(C8:AG12, TRUE)</f>
        <v>1</v>
      </c>
      <c r="W2" s="5" t="str">
        <f>IFERROR(__xludf.DUMMYFUNCTION("SPARKLINE(AD2, {""charttype"",""bar""; ""max"",1;""color1"",""green""; ""empty"",""zero""})"),"")</f>
        <v/>
      </c>
      <c r="X2" s="6"/>
      <c r="Y2" s="6"/>
      <c r="Z2" s="6"/>
      <c r="AA2" s="6"/>
      <c r="AB2" s="6"/>
      <c r="AC2" s="7"/>
      <c r="AD2" s="8">
        <f>SUM(O2) / (COUNTA(C8:AG8) * ROWS(C8:AG15))</f>
        <v>0.004032258065</v>
      </c>
      <c r="AH2" s="3"/>
      <c r="AI2" s="3"/>
      <c r="AJ2" s="3"/>
      <c r="AK2" s="3"/>
      <c r="AL2" s="3"/>
    </row>
    <row r="3">
      <c r="I3" s="9"/>
      <c r="AH3" s="3"/>
      <c r="AI3" s="3"/>
      <c r="AJ3" s="3"/>
      <c r="AK3" s="3"/>
      <c r="AL3" s="3"/>
    </row>
    <row r="4">
      <c r="A4" s="10"/>
      <c r="AH4" s="3"/>
      <c r="AI4" s="3"/>
      <c r="AJ4" s="3"/>
      <c r="AK4" s="3"/>
      <c r="AL4" s="3"/>
      <c r="AM4" s="3"/>
      <c r="AN4" s="3"/>
      <c r="AO4" s="3"/>
      <c r="AP4" s="3"/>
    </row>
    <row r="5">
      <c r="A5" s="11" t="s">
        <v>5</v>
      </c>
      <c r="C5" s="12" t="s">
        <v>6</v>
      </c>
      <c r="J5" s="11" t="s">
        <v>7</v>
      </c>
      <c r="Q5" s="12" t="s">
        <v>8</v>
      </c>
      <c r="X5" s="11" t="s">
        <v>9</v>
      </c>
      <c r="AE5" s="12" t="s">
        <v>10</v>
      </c>
      <c r="AM5" s="13" t="s">
        <v>11</v>
      </c>
    </row>
    <row r="6"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2" t="s">
        <v>17</v>
      </c>
      <c r="I6" s="12" t="s">
        <v>18</v>
      </c>
      <c r="J6" s="11" t="s">
        <v>12</v>
      </c>
      <c r="K6" s="11" t="s">
        <v>13</v>
      </c>
      <c r="L6" s="11" t="s">
        <v>14</v>
      </c>
      <c r="M6" s="11" t="s">
        <v>15</v>
      </c>
      <c r="N6" s="11" t="s">
        <v>16</v>
      </c>
      <c r="O6" s="11" t="s">
        <v>17</v>
      </c>
      <c r="P6" s="11" t="s">
        <v>18</v>
      </c>
      <c r="Q6" s="12" t="s">
        <v>12</v>
      </c>
      <c r="R6" s="12" t="s">
        <v>13</v>
      </c>
      <c r="S6" s="12" t="s">
        <v>14</v>
      </c>
      <c r="T6" s="12" t="s">
        <v>15</v>
      </c>
      <c r="U6" s="12" t="s">
        <v>16</v>
      </c>
      <c r="V6" s="12" t="s">
        <v>17</v>
      </c>
      <c r="W6" s="12" t="s">
        <v>18</v>
      </c>
      <c r="X6" s="11" t="s">
        <v>12</v>
      </c>
      <c r="Y6" s="11" t="s">
        <v>13</v>
      </c>
      <c r="Z6" s="11" t="s">
        <v>14</v>
      </c>
      <c r="AA6" s="11" t="s">
        <v>15</v>
      </c>
      <c r="AB6" s="11" t="s">
        <v>16</v>
      </c>
      <c r="AC6" s="11" t="s">
        <v>17</v>
      </c>
      <c r="AD6" s="11" t="s">
        <v>18</v>
      </c>
      <c r="AE6" s="12" t="s">
        <v>12</v>
      </c>
      <c r="AF6" s="12" t="s">
        <v>13</v>
      </c>
      <c r="AG6" s="12" t="s">
        <v>14</v>
      </c>
      <c r="AH6" s="12" t="s">
        <v>15</v>
      </c>
      <c r="AI6" s="12" t="s">
        <v>16</v>
      </c>
      <c r="AJ6" s="12" t="s">
        <v>17</v>
      </c>
      <c r="AK6" s="12" t="s">
        <v>18</v>
      </c>
      <c r="AL6" s="3"/>
    </row>
    <row r="7">
      <c r="C7" s="12">
        <v>26.0</v>
      </c>
      <c r="D7" s="12">
        <v>27.0</v>
      </c>
      <c r="E7" s="12">
        <v>28.0</v>
      </c>
      <c r="F7" s="12">
        <v>29.0</v>
      </c>
      <c r="G7" s="12">
        <v>30.0</v>
      </c>
      <c r="H7" s="12">
        <v>31.0</v>
      </c>
      <c r="I7" s="12">
        <v>1.0</v>
      </c>
      <c r="J7" s="11">
        <v>2.0</v>
      </c>
      <c r="K7" s="11">
        <v>3.0</v>
      </c>
      <c r="L7" s="11">
        <v>4.0</v>
      </c>
      <c r="M7" s="11">
        <v>5.0</v>
      </c>
      <c r="N7" s="11">
        <v>6.0</v>
      </c>
      <c r="O7" s="11">
        <v>7.0</v>
      </c>
      <c r="P7" s="11">
        <v>8.0</v>
      </c>
      <c r="Q7" s="12">
        <v>9.0</v>
      </c>
      <c r="R7" s="12">
        <v>10.0</v>
      </c>
      <c r="S7" s="12">
        <v>11.0</v>
      </c>
      <c r="T7" s="12">
        <v>12.0</v>
      </c>
      <c r="U7" s="12">
        <v>13.0</v>
      </c>
      <c r="V7" s="12">
        <v>14.0</v>
      </c>
      <c r="W7" s="12">
        <v>15.0</v>
      </c>
      <c r="X7" s="11">
        <v>16.0</v>
      </c>
      <c r="Y7" s="11">
        <v>17.0</v>
      </c>
      <c r="Z7" s="11">
        <v>18.0</v>
      </c>
      <c r="AA7" s="11">
        <v>19.0</v>
      </c>
      <c r="AB7" s="11">
        <v>20.0</v>
      </c>
      <c r="AC7" s="11">
        <v>21.0</v>
      </c>
      <c r="AD7" s="11">
        <v>22.0</v>
      </c>
      <c r="AE7" s="12">
        <v>23.0</v>
      </c>
      <c r="AF7" s="12">
        <v>24.0</v>
      </c>
      <c r="AG7" s="12">
        <v>25.0</v>
      </c>
      <c r="AH7" s="12">
        <v>26.0</v>
      </c>
      <c r="AI7" s="12">
        <v>27.0</v>
      </c>
      <c r="AJ7" s="12">
        <v>28.0</v>
      </c>
      <c r="AK7" s="12">
        <v>1.0</v>
      </c>
      <c r="AL7" s="3"/>
      <c r="AM7" s="14" t="s">
        <v>19</v>
      </c>
      <c r="AN7" s="14" t="s">
        <v>20</v>
      </c>
      <c r="AO7" s="14" t="s">
        <v>21</v>
      </c>
      <c r="AP7" s="14" t="s">
        <v>3</v>
      </c>
    </row>
    <row r="8">
      <c r="A8" s="15">
        <v>1.0</v>
      </c>
      <c r="B8" s="15" t="s">
        <v>22</v>
      </c>
      <c r="C8" s="16" t="b">
        <v>1</v>
      </c>
      <c r="D8" s="16" t="b">
        <v>0</v>
      </c>
      <c r="E8" s="16" t="b">
        <v>0</v>
      </c>
      <c r="F8" s="16" t="b">
        <v>0</v>
      </c>
      <c r="G8" s="16" t="b">
        <v>0</v>
      </c>
      <c r="H8" s="16" t="b">
        <v>0</v>
      </c>
      <c r="I8" s="16" t="b">
        <v>0</v>
      </c>
      <c r="J8" s="17" t="b">
        <v>0</v>
      </c>
      <c r="K8" s="17" t="b">
        <v>0</v>
      </c>
      <c r="L8" s="17" t="b">
        <v>0</v>
      </c>
      <c r="M8" s="17" t="b">
        <v>0</v>
      </c>
      <c r="N8" s="17" t="b">
        <v>0</v>
      </c>
      <c r="O8" s="17" t="b">
        <v>0</v>
      </c>
      <c r="P8" s="17" t="b">
        <v>0</v>
      </c>
      <c r="Q8" s="16" t="b">
        <v>0</v>
      </c>
      <c r="R8" s="16" t="b">
        <v>0</v>
      </c>
      <c r="S8" s="16" t="b">
        <v>0</v>
      </c>
      <c r="T8" s="16" t="b">
        <v>0</v>
      </c>
      <c r="U8" s="16" t="b">
        <v>0</v>
      </c>
      <c r="V8" s="16" t="b">
        <v>0</v>
      </c>
      <c r="W8" s="16" t="b">
        <v>0</v>
      </c>
      <c r="X8" s="17" t="b">
        <v>0</v>
      </c>
      <c r="Y8" s="17" t="b">
        <v>0</v>
      </c>
      <c r="Z8" s="17" t="b">
        <v>0</v>
      </c>
      <c r="AA8" s="17" t="b">
        <v>0</v>
      </c>
      <c r="AB8" s="17" t="b">
        <v>0</v>
      </c>
      <c r="AC8" s="17" t="b">
        <v>0</v>
      </c>
      <c r="AD8" s="17" t="b">
        <v>0</v>
      </c>
      <c r="AE8" s="16" t="b">
        <v>0</v>
      </c>
      <c r="AF8" s="16" t="b">
        <v>0</v>
      </c>
      <c r="AG8" s="16" t="b">
        <v>0</v>
      </c>
      <c r="AH8" s="16" t="b">
        <v>0</v>
      </c>
      <c r="AI8" s="16" t="b">
        <v>0</v>
      </c>
      <c r="AJ8" s="16" t="b">
        <v>0</v>
      </c>
      <c r="AK8" s="16" t="b">
        <v>0</v>
      </c>
      <c r="AL8" s="3"/>
      <c r="AM8" s="18">
        <v>31.0</v>
      </c>
      <c r="AN8" s="18">
        <f t="shared" ref="AN8:AN15" si="1">COUNTIF(C8:AK8, TRUE)</f>
        <v>1</v>
      </c>
      <c r="AO8" s="19">
        <f t="shared" ref="AO8:AO15" si="2">SUM(AN8 / (COUNTA(C8:AK8) * ROWS(C8:AK8)))</f>
        <v>0.02857142857</v>
      </c>
      <c r="AP8" s="20" t="str">
        <f>IFERROR(__xludf.DUMMYFUNCTION("SPARKLINE(AO8, {""charttype"",""bar""; ""max"",1;""color1"",""green""; ""empty"",""zero""})"),"")</f>
        <v/>
      </c>
    </row>
    <row r="9">
      <c r="A9" s="15">
        <v>2.0</v>
      </c>
      <c r="B9" s="15" t="s">
        <v>23</v>
      </c>
      <c r="C9" s="16" t="b">
        <v>0</v>
      </c>
      <c r="D9" s="21" t="b">
        <v>0</v>
      </c>
      <c r="E9" s="16" t="b">
        <v>0</v>
      </c>
      <c r="F9" s="21" t="b">
        <v>0</v>
      </c>
      <c r="G9" s="16" t="b">
        <v>0</v>
      </c>
      <c r="H9" s="21" t="b">
        <v>0</v>
      </c>
      <c r="I9" s="21" t="b">
        <v>0</v>
      </c>
      <c r="J9" s="22" t="b">
        <v>0</v>
      </c>
      <c r="K9" s="22" t="b">
        <v>0</v>
      </c>
      <c r="L9" s="22" t="b">
        <v>0</v>
      </c>
      <c r="M9" s="22" t="b">
        <v>0</v>
      </c>
      <c r="N9" s="22" t="b">
        <v>0</v>
      </c>
      <c r="O9" s="17" t="b">
        <v>0</v>
      </c>
      <c r="P9" s="17" t="b">
        <v>0</v>
      </c>
      <c r="Q9" s="21" t="b">
        <v>0</v>
      </c>
      <c r="R9" s="16" t="b">
        <v>0</v>
      </c>
      <c r="S9" s="16" t="b">
        <v>0</v>
      </c>
      <c r="T9" s="21" t="b">
        <v>0</v>
      </c>
      <c r="U9" s="16" t="b">
        <v>0</v>
      </c>
      <c r="V9" s="16" t="b">
        <v>0</v>
      </c>
      <c r="W9" s="21" t="b">
        <v>0</v>
      </c>
      <c r="X9" s="17" t="b">
        <v>0</v>
      </c>
      <c r="Y9" s="22" t="b">
        <v>0</v>
      </c>
      <c r="Z9" s="22" t="b">
        <v>0</v>
      </c>
      <c r="AA9" s="22" t="b">
        <v>0</v>
      </c>
      <c r="AB9" s="22" t="b">
        <v>0</v>
      </c>
      <c r="AC9" s="22" t="b">
        <v>0</v>
      </c>
      <c r="AD9" s="22" t="b">
        <v>0</v>
      </c>
      <c r="AE9" s="21" t="b">
        <v>0</v>
      </c>
      <c r="AF9" s="21" t="b">
        <v>0</v>
      </c>
      <c r="AG9" s="21" t="b">
        <v>0</v>
      </c>
      <c r="AH9" s="21" t="b">
        <v>0</v>
      </c>
      <c r="AI9" s="21" t="b">
        <v>0</v>
      </c>
      <c r="AJ9" s="16" t="b">
        <v>0</v>
      </c>
      <c r="AK9" s="21" t="b">
        <v>0</v>
      </c>
      <c r="AL9" s="3"/>
      <c r="AM9" s="18">
        <v>31.0</v>
      </c>
      <c r="AN9" s="18">
        <f t="shared" si="1"/>
        <v>0</v>
      </c>
      <c r="AO9" s="19">
        <f t="shared" si="2"/>
        <v>0</v>
      </c>
      <c r="AP9" s="20" t="str">
        <f>IFERROR(__xludf.DUMMYFUNCTION("SPARKLINE(AO9, {""charttype"",""bar""; ""max"",1;""color1"",""green""; ""empty"",""zero""})"),"")</f>
        <v/>
      </c>
    </row>
    <row r="10">
      <c r="A10" s="15">
        <v>3.0</v>
      </c>
      <c r="B10" s="15" t="s">
        <v>24</v>
      </c>
      <c r="C10" s="16" t="b">
        <v>0</v>
      </c>
      <c r="D10" s="21" t="b">
        <v>0</v>
      </c>
      <c r="E10" s="16" t="b">
        <v>0</v>
      </c>
      <c r="F10" s="21" t="b">
        <v>0</v>
      </c>
      <c r="G10" s="16" t="b">
        <v>0</v>
      </c>
      <c r="H10" s="21" t="b">
        <v>0</v>
      </c>
      <c r="I10" s="16" t="b">
        <v>0</v>
      </c>
      <c r="J10" s="22" t="b">
        <v>0</v>
      </c>
      <c r="K10" s="22" t="b">
        <v>0</v>
      </c>
      <c r="L10" s="22" t="b">
        <v>0</v>
      </c>
      <c r="M10" s="22" t="b">
        <v>0</v>
      </c>
      <c r="N10" s="22" t="b">
        <v>0</v>
      </c>
      <c r="O10" s="22" t="b">
        <v>0</v>
      </c>
      <c r="P10" s="17" t="b">
        <v>0</v>
      </c>
      <c r="Q10" s="21" t="b">
        <v>0</v>
      </c>
      <c r="R10" s="21" t="b">
        <v>0</v>
      </c>
      <c r="S10" s="16" t="b">
        <v>0</v>
      </c>
      <c r="T10" s="21" t="b">
        <v>0</v>
      </c>
      <c r="U10" s="16" t="b">
        <v>0</v>
      </c>
      <c r="V10" s="16" t="b">
        <v>0</v>
      </c>
      <c r="W10" s="21" t="b">
        <v>0</v>
      </c>
      <c r="X10" s="17" t="b">
        <v>0</v>
      </c>
      <c r="Y10" s="22" t="b">
        <v>0</v>
      </c>
      <c r="Z10" s="22" t="b">
        <v>0</v>
      </c>
      <c r="AA10" s="22" t="b">
        <v>0</v>
      </c>
      <c r="AB10" s="22" t="b">
        <v>0</v>
      </c>
      <c r="AC10" s="22" t="b">
        <v>0</v>
      </c>
      <c r="AD10" s="22" t="b">
        <v>0</v>
      </c>
      <c r="AE10" s="21" t="b">
        <v>0</v>
      </c>
      <c r="AF10" s="21" t="b">
        <v>0</v>
      </c>
      <c r="AG10" s="21" t="b">
        <v>0</v>
      </c>
      <c r="AH10" s="21" t="b">
        <v>0</v>
      </c>
      <c r="AI10" s="16" t="b">
        <v>0</v>
      </c>
      <c r="AJ10" s="16" t="b">
        <v>0</v>
      </c>
      <c r="AK10" s="21" t="b">
        <v>0</v>
      </c>
      <c r="AM10" s="18">
        <v>31.0</v>
      </c>
      <c r="AN10" s="18">
        <f t="shared" si="1"/>
        <v>0</v>
      </c>
      <c r="AO10" s="19">
        <f t="shared" si="2"/>
        <v>0</v>
      </c>
      <c r="AP10" s="20" t="str">
        <f>IFERROR(__xludf.DUMMYFUNCTION("SPARKLINE(AO10, {""charttype"",""bar""; ""max"",1;""color1"",""green""; ""empty"",""zero""})"),"")</f>
        <v/>
      </c>
    </row>
    <row r="11">
      <c r="A11" s="15">
        <v>4.0</v>
      </c>
      <c r="B11" s="15" t="s">
        <v>25</v>
      </c>
      <c r="C11" s="16" t="b">
        <v>0</v>
      </c>
      <c r="D11" s="16" t="b">
        <v>0</v>
      </c>
      <c r="E11" s="16" t="b">
        <v>0</v>
      </c>
      <c r="F11" s="16" t="b">
        <v>0</v>
      </c>
      <c r="G11" s="16" t="b">
        <v>0</v>
      </c>
      <c r="H11" s="16" t="b">
        <v>0</v>
      </c>
      <c r="I11" s="16" t="b">
        <v>0</v>
      </c>
      <c r="J11" s="22" t="b">
        <v>0</v>
      </c>
      <c r="K11" s="22" t="b">
        <v>0</v>
      </c>
      <c r="L11" s="22" t="b">
        <v>0</v>
      </c>
      <c r="M11" s="22" t="b">
        <v>0</v>
      </c>
      <c r="N11" s="17" t="b">
        <v>0</v>
      </c>
      <c r="O11" s="22" t="b">
        <v>0</v>
      </c>
      <c r="P11" s="22" t="b">
        <v>0</v>
      </c>
      <c r="Q11" s="21" t="b">
        <v>0</v>
      </c>
      <c r="R11" s="16" t="b">
        <v>0</v>
      </c>
      <c r="S11" s="16" t="b">
        <v>0</v>
      </c>
      <c r="T11" s="21" t="b">
        <v>0</v>
      </c>
      <c r="U11" s="16" t="b">
        <v>0</v>
      </c>
      <c r="V11" s="16" t="b">
        <v>0</v>
      </c>
      <c r="W11" s="21" t="b">
        <v>0</v>
      </c>
      <c r="X11" s="17" t="b">
        <v>0</v>
      </c>
      <c r="Y11" s="22" t="b">
        <v>0</v>
      </c>
      <c r="Z11" s="22" t="b">
        <v>0</v>
      </c>
      <c r="AA11" s="22" t="b">
        <v>0</v>
      </c>
      <c r="AB11" s="22" t="b">
        <v>0</v>
      </c>
      <c r="AC11" s="22" t="b">
        <v>0</v>
      </c>
      <c r="AD11" s="22" t="b">
        <v>0</v>
      </c>
      <c r="AE11" s="21" t="b">
        <v>0</v>
      </c>
      <c r="AF11" s="21" t="b">
        <v>0</v>
      </c>
      <c r="AG11" s="21" t="b">
        <v>0</v>
      </c>
      <c r="AH11" s="21" t="b">
        <v>0</v>
      </c>
      <c r="AI11" s="16" t="b">
        <v>0</v>
      </c>
      <c r="AJ11" s="21" t="b">
        <v>0</v>
      </c>
      <c r="AK11" s="21" t="b">
        <v>0</v>
      </c>
      <c r="AM11" s="18">
        <v>31.0</v>
      </c>
      <c r="AN11" s="18">
        <f t="shared" si="1"/>
        <v>0</v>
      </c>
      <c r="AO11" s="19">
        <f t="shared" si="2"/>
        <v>0</v>
      </c>
      <c r="AP11" s="20" t="str">
        <f>IFERROR(__xludf.DUMMYFUNCTION("SPARKLINE(AO11, {""charttype"",""bar""; ""max"",1;""color1"",""green""; ""empty"",""zero""})"),"")</f>
        <v/>
      </c>
    </row>
    <row r="12">
      <c r="A12" s="15">
        <v>5.0</v>
      </c>
      <c r="B12" s="15" t="s">
        <v>26</v>
      </c>
      <c r="C12" s="16" t="b">
        <v>0</v>
      </c>
      <c r="D12" s="16" t="b">
        <v>0</v>
      </c>
      <c r="E12" s="21" t="b">
        <v>0</v>
      </c>
      <c r="F12" s="21" t="b">
        <v>0</v>
      </c>
      <c r="G12" s="16" t="b">
        <v>0</v>
      </c>
      <c r="H12" s="16" t="b">
        <v>0</v>
      </c>
      <c r="I12" s="16" t="b">
        <v>0</v>
      </c>
      <c r="J12" s="22" t="b">
        <v>0</v>
      </c>
      <c r="K12" s="22" t="b">
        <v>0</v>
      </c>
      <c r="L12" s="17" t="b">
        <v>0</v>
      </c>
      <c r="M12" s="17" t="b">
        <v>0</v>
      </c>
      <c r="N12" s="17" t="b">
        <v>0</v>
      </c>
      <c r="O12" s="22" t="b">
        <v>0</v>
      </c>
      <c r="P12" s="22" t="b">
        <v>0</v>
      </c>
      <c r="Q12" s="16" t="b">
        <v>0</v>
      </c>
      <c r="R12" s="16" t="b">
        <v>0</v>
      </c>
      <c r="S12" s="21" t="b">
        <v>0</v>
      </c>
      <c r="T12" s="21" t="b">
        <v>0</v>
      </c>
      <c r="U12" s="16" t="b">
        <v>0</v>
      </c>
      <c r="V12" s="16" t="b">
        <v>0</v>
      </c>
      <c r="W12" s="21" t="b">
        <v>0</v>
      </c>
      <c r="X12" s="17" t="b">
        <v>0</v>
      </c>
      <c r="Y12" s="22" t="b">
        <v>0</v>
      </c>
      <c r="Z12" s="22" t="b">
        <v>0</v>
      </c>
      <c r="AA12" s="22" t="b">
        <v>0</v>
      </c>
      <c r="AB12" s="22" t="b">
        <v>0</v>
      </c>
      <c r="AC12" s="22" t="b">
        <v>0</v>
      </c>
      <c r="AD12" s="22" t="b">
        <v>0</v>
      </c>
      <c r="AE12" s="21" t="b">
        <v>0</v>
      </c>
      <c r="AF12" s="21" t="b">
        <v>0</v>
      </c>
      <c r="AG12" s="21" t="b">
        <v>0</v>
      </c>
      <c r="AH12" s="21" t="b">
        <v>0</v>
      </c>
      <c r="AI12" s="21" t="b">
        <v>0</v>
      </c>
      <c r="AJ12" s="21" t="b">
        <v>0</v>
      </c>
      <c r="AK12" s="21" t="b">
        <v>0</v>
      </c>
      <c r="AM12" s="18">
        <v>31.0</v>
      </c>
      <c r="AN12" s="18">
        <f t="shared" si="1"/>
        <v>0</v>
      </c>
      <c r="AO12" s="19">
        <f t="shared" si="2"/>
        <v>0</v>
      </c>
      <c r="AP12" s="20" t="str">
        <f>IFERROR(__xludf.DUMMYFUNCTION("SPARKLINE(AO12, {""charttype"",""bar""; ""max"",1;""color1"",""green""; ""empty"",""zero""})"),"")</f>
        <v/>
      </c>
    </row>
    <row r="13">
      <c r="A13" s="15">
        <v>6.0</v>
      </c>
      <c r="B13" s="15" t="s">
        <v>27</v>
      </c>
      <c r="C13" s="16" t="b">
        <v>0</v>
      </c>
      <c r="D13" s="21" t="b">
        <v>0</v>
      </c>
      <c r="E13" s="21" t="b">
        <v>0</v>
      </c>
      <c r="F13" s="21" t="b">
        <v>0</v>
      </c>
      <c r="G13" s="21" t="b">
        <v>0</v>
      </c>
      <c r="H13" s="21" t="b">
        <v>0</v>
      </c>
      <c r="I13" s="16" t="b">
        <v>0</v>
      </c>
      <c r="J13" s="17" t="b">
        <v>0</v>
      </c>
      <c r="K13" s="22" t="b">
        <v>0</v>
      </c>
      <c r="L13" s="22" t="b">
        <v>0</v>
      </c>
      <c r="M13" s="22" t="b">
        <v>0</v>
      </c>
      <c r="N13" s="17" t="b">
        <v>0</v>
      </c>
      <c r="O13" s="22" t="b">
        <v>0</v>
      </c>
      <c r="P13" s="22" t="b">
        <v>0</v>
      </c>
      <c r="Q13" s="21" t="b">
        <v>0</v>
      </c>
      <c r="R13" s="16" t="b">
        <v>0</v>
      </c>
      <c r="S13" s="21" t="b">
        <v>0</v>
      </c>
      <c r="T13" s="21" t="b">
        <v>0</v>
      </c>
      <c r="U13" s="16" t="b">
        <v>0</v>
      </c>
      <c r="V13" s="16" t="b">
        <v>0</v>
      </c>
      <c r="W13" s="21" t="b">
        <v>0</v>
      </c>
      <c r="X13" s="17" t="b">
        <v>0</v>
      </c>
      <c r="Y13" s="22" t="b">
        <v>0</v>
      </c>
      <c r="Z13" s="22" t="b">
        <v>0</v>
      </c>
      <c r="AA13" s="22" t="b">
        <v>0</v>
      </c>
      <c r="AB13" s="22" t="b">
        <v>0</v>
      </c>
      <c r="AC13" s="17" t="b">
        <v>0</v>
      </c>
      <c r="AD13" s="22" t="b">
        <v>0</v>
      </c>
      <c r="AE13" s="21" t="b">
        <v>0</v>
      </c>
      <c r="AF13" s="21" t="b">
        <v>0</v>
      </c>
      <c r="AG13" s="21" t="b">
        <v>0</v>
      </c>
      <c r="AH13" s="21" t="b">
        <v>0</v>
      </c>
      <c r="AI13" s="21" t="b">
        <v>0</v>
      </c>
      <c r="AJ13" s="21" t="b">
        <v>0</v>
      </c>
      <c r="AK13" s="21" t="b">
        <v>0</v>
      </c>
      <c r="AM13" s="18">
        <v>31.0</v>
      </c>
      <c r="AN13" s="18">
        <f t="shared" si="1"/>
        <v>0</v>
      </c>
      <c r="AO13" s="19">
        <f t="shared" si="2"/>
        <v>0</v>
      </c>
      <c r="AP13" s="20" t="str">
        <f>IFERROR(__xludf.DUMMYFUNCTION("SPARKLINE(AO13, {""charttype"",""bar""; ""max"",1;""color1"",""green""; ""empty"",""zero""})"),"")</f>
        <v/>
      </c>
    </row>
    <row r="14">
      <c r="A14" s="15">
        <v>7.0</v>
      </c>
      <c r="B14" s="15" t="s">
        <v>28</v>
      </c>
      <c r="C14" s="16" t="b">
        <v>0</v>
      </c>
      <c r="D14" s="16" t="b">
        <v>0</v>
      </c>
      <c r="E14" s="21" t="b">
        <v>0</v>
      </c>
      <c r="F14" s="21" t="b">
        <v>0</v>
      </c>
      <c r="G14" s="16" t="b">
        <v>0</v>
      </c>
      <c r="H14" s="21" t="b">
        <v>0</v>
      </c>
      <c r="I14" s="21" t="b">
        <v>0</v>
      </c>
      <c r="J14" s="17" t="b">
        <v>0</v>
      </c>
      <c r="K14" s="22" t="b">
        <v>0</v>
      </c>
      <c r="L14" s="17" t="b">
        <v>0</v>
      </c>
      <c r="M14" s="17" t="b">
        <v>0</v>
      </c>
      <c r="N14" s="22" t="b">
        <v>0</v>
      </c>
      <c r="O14" s="22" t="b">
        <v>0</v>
      </c>
      <c r="P14" s="22" t="b">
        <v>0</v>
      </c>
      <c r="Q14" s="21" t="b">
        <v>0</v>
      </c>
      <c r="R14" s="16" t="b">
        <v>0</v>
      </c>
      <c r="S14" s="21" t="b">
        <v>0</v>
      </c>
      <c r="T14" s="21" t="b">
        <v>0</v>
      </c>
      <c r="U14" s="16" t="b">
        <v>0</v>
      </c>
      <c r="V14" s="16" t="b">
        <v>0</v>
      </c>
      <c r="W14" s="21" t="b">
        <v>0</v>
      </c>
      <c r="X14" s="17" t="b">
        <v>0</v>
      </c>
      <c r="Y14" s="22" t="b">
        <v>0</v>
      </c>
      <c r="Z14" s="22" t="b">
        <v>0</v>
      </c>
      <c r="AA14" s="22" t="b">
        <v>0</v>
      </c>
      <c r="AB14" s="22" t="b">
        <v>0</v>
      </c>
      <c r="AC14" s="17" t="b">
        <v>0</v>
      </c>
      <c r="AD14" s="22" t="b">
        <v>0</v>
      </c>
      <c r="AE14" s="21" t="b">
        <v>0</v>
      </c>
      <c r="AF14" s="21" t="b">
        <v>0</v>
      </c>
      <c r="AG14" s="16" t="b">
        <v>0</v>
      </c>
      <c r="AH14" s="21" t="b">
        <v>0</v>
      </c>
      <c r="AI14" s="21" t="b">
        <v>0</v>
      </c>
      <c r="AJ14" s="21" t="b">
        <v>0</v>
      </c>
      <c r="AK14" s="16" t="b">
        <v>0</v>
      </c>
      <c r="AM14" s="18">
        <v>31.0</v>
      </c>
      <c r="AN14" s="18">
        <f t="shared" si="1"/>
        <v>0</v>
      </c>
      <c r="AO14" s="19">
        <f t="shared" si="2"/>
        <v>0</v>
      </c>
      <c r="AP14" s="20" t="str">
        <f>IFERROR(__xludf.DUMMYFUNCTION("SPARKLINE(AO14, {""charttype"",""bar""; ""max"",1;""color1"",""green""; ""empty"",""zero""})"),"")</f>
        <v/>
      </c>
    </row>
    <row r="15">
      <c r="A15" s="15">
        <v>8.0</v>
      </c>
      <c r="B15" s="15" t="s">
        <v>29</v>
      </c>
      <c r="C15" s="16" t="b">
        <v>0</v>
      </c>
      <c r="D15" s="21" t="b">
        <v>0</v>
      </c>
      <c r="E15" s="21" t="b">
        <v>0</v>
      </c>
      <c r="F15" s="16" t="b">
        <v>0</v>
      </c>
      <c r="G15" s="21" t="b">
        <v>0</v>
      </c>
      <c r="H15" s="16" t="b">
        <v>0</v>
      </c>
      <c r="I15" s="21" t="b">
        <v>0</v>
      </c>
      <c r="J15" s="17" t="b">
        <v>0</v>
      </c>
      <c r="K15" s="22" t="b">
        <v>0</v>
      </c>
      <c r="L15" s="22" t="b">
        <v>0</v>
      </c>
      <c r="M15" s="17" t="b">
        <v>0</v>
      </c>
      <c r="N15" s="22" t="b">
        <v>0</v>
      </c>
      <c r="O15" s="22" t="b">
        <v>0</v>
      </c>
      <c r="P15" s="22" t="b">
        <v>0</v>
      </c>
      <c r="Q15" s="21" t="b">
        <v>0</v>
      </c>
      <c r="R15" s="16" t="b">
        <v>0</v>
      </c>
      <c r="S15" s="21" t="b">
        <v>0</v>
      </c>
      <c r="T15" s="21" t="b">
        <v>0</v>
      </c>
      <c r="U15" s="16" t="b">
        <v>0</v>
      </c>
      <c r="V15" s="16" t="b">
        <v>0</v>
      </c>
      <c r="W15" s="21" t="b">
        <v>0</v>
      </c>
      <c r="X15" s="17" t="b">
        <v>0</v>
      </c>
      <c r="Y15" s="22" t="b">
        <v>0</v>
      </c>
      <c r="Z15" s="22" t="b">
        <v>0</v>
      </c>
      <c r="AA15" s="22" t="b">
        <v>0</v>
      </c>
      <c r="AB15" s="22" t="b">
        <v>0</v>
      </c>
      <c r="AC15" s="17" t="b">
        <v>0</v>
      </c>
      <c r="AD15" s="22" t="b">
        <v>0</v>
      </c>
      <c r="AE15" s="21" t="b">
        <v>0</v>
      </c>
      <c r="AF15" s="21" t="b">
        <v>0</v>
      </c>
      <c r="AG15" s="16" t="b">
        <v>0</v>
      </c>
      <c r="AH15" s="21" t="b">
        <v>0</v>
      </c>
      <c r="AI15" s="21" t="b">
        <v>0</v>
      </c>
      <c r="AJ15" s="16" t="b">
        <v>0</v>
      </c>
      <c r="AK15" s="16" t="b">
        <v>0</v>
      </c>
      <c r="AM15" s="18">
        <v>31.0</v>
      </c>
      <c r="AN15" s="18">
        <f t="shared" si="1"/>
        <v>0</v>
      </c>
      <c r="AO15" s="19">
        <f t="shared" si="2"/>
        <v>0</v>
      </c>
      <c r="AP15" s="20" t="str">
        <f>IFERROR(__xludf.DUMMYFUNCTION("SPARKLINE(AO15, {""charttype"",""bar""; ""max"",1;""color1"",""green""; ""empty"",""zero""})"),"")</f>
        <v/>
      </c>
    </row>
    <row r="17">
      <c r="A17" s="23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>
      <c r="A18" s="15" t="s">
        <v>3</v>
      </c>
      <c r="C18" s="25">
        <f t="shared" ref="C18:AG18" si="3">IF(COUNTA(C8:C12)=0, 0, COUNTIF(C8:C12, TRUE)/COUNTA(C8:C12))</f>
        <v>0.2</v>
      </c>
      <c r="D18" s="25">
        <f t="shared" si="3"/>
        <v>0</v>
      </c>
      <c r="E18" s="25">
        <f t="shared" si="3"/>
        <v>0</v>
      </c>
      <c r="F18" s="25">
        <f t="shared" si="3"/>
        <v>0</v>
      </c>
      <c r="G18" s="25">
        <f t="shared" si="3"/>
        <v>0</v>
      </c>
      <c r="H18" s="25">
        <f t="shared" si="3"/>
        <v>0</v>
      </c>
      <c r="I18" s="25">
        <f t="shared" si="3"/>
        <v>0</v>
      </c>
      <c r="J18" s="25">
        <f t="shared" si="3"/>
        <v>0</v>
      </c>
      <c r="K18" s="25">
        <f t="shared" si="3"/>
        <v>0</v>
      </c>
      <c r="L18" s="25">
        <f t="shared" si="3"/>
        <v>0</v>
      </c>
      <c r="M18" s="25">
        <f t="shared" si="3"/>
        <v>0</v>
      </c>
      <c r="N18" s="25">
        <f t="shared" si="3"/>
        <v>0</v>
      </c>
      <c r="O18" s="25">
        <f t="shared" si="3"/>
        <v>0</v>
      </c>
      <c r="P18" s="25">
        <f t="shared" si="3"/>
        <v>0</v>
      </c>
      <c r="Q18" s="25">
        <f t="shared" si="3"/>
        <v>0</v>
      </c>
      <c r="R18" s="25">
        <f t="shared" si="3"/>
        <v>0</v>
      </c>
      <c r="S18" s="25">
        <f t="shared" si="3"/>
        <v>0</v>
      </c>
      <c r="T18" s="25">
        <f t="shared" si="3"/>
        <v>0</v>
      </c>
      <c r="U18" s="25">
        <f t="shared" si="3"/>
        <v>0</v>
      </c>
      <c r="V18" s="25">
        <f t="shared" si="3"/>
        <v>0</v>
      </c>
      <c r="W18" s="25">
        <f t="shared" si="3"/>
        <v>0</v>
      </c>
      <c r="X18" s="25">
        <f t="shared" si="3"/>
        <v>0</v>
      </c>
      <c r="Y18" s="25">
        <f t="shared" si="3"/>
        <v>0</v>
      </c>
      <c r="Z18" s="25">
        <f t="shared" si="3"/>
        <v>0</v>
      </c>
      <c r="AA18" s="25">
        <f t="shared" si="3"/>
        <v>0</v>
      </c>
      <c r="AB18" s="25">
        <f t="shared" si="3"/>
        <v>0</v>
      </c>
      <c r="AC18" s="25">
        <f t="shared" si="3"/>
        <v>0</v>
      </c>
      <c r="AD18" s="25">
        <f t="shared" si="3"/>
        <v>0</v>
      </c>
      <c r="AE18" s="25">
        <f t="shared" si="3"/>
        <v>0</v>
      </c>
      <c r="AF18" s="25">
        <f t="shared" si="3"/>
        <v>0</v>
      </c>
      <c r="AG18" s="25">
        <f t="shared" si="3"/>
        <v>0</v>
      </c>
      <c r="AH18" s="3"/>
      <c r="AI18" s="3"/>
      <c r="AJ18" s="3"/>
      <c r="AK18" s="3"/>
      <c r="AL18" s="3"/>
      <c r="AM18" s="11" t="s">
        <v>30</v>
      </c>
    </row>
    <row r="19">
      <c r="A19" s="15" t="s">
        <v>31</v>
      </c>
      <c r="C19" s="26">
        <f t="shared" ref="C19:AG19" si="4">COUNTIF(C8:C12, TRUE)</f>
        <v>1</v>
      </c>
      <c r="D19" s="26">
        <f t="shared" si="4"/>
        <v>0</v>
      </c>
      <c r="E19" s="26">
        <f t="shared" si="4"/>
        <v>0</v>
      </c>
      <c r="F19" s="26">
        <f t="shared" si="4"/>
        <v>0</v>
      </c>
      <c r="G19" s="26">
        <f t="shared" si="4"/>
        <v>0</v>
      </c>
      <c r="H19" s="26">
        <f t="shared" si="4"/>
        <v>0</v>
      </c>
      <c r="I19" s="26">
        <f t="shared" si="4"/>
        <v>0</v>
      </c>
      <c r="J19" s="26">
        <f t="shared" si="4"/>
        <v>0</v>
      </c>
      <c r="K19" s="26">
        <f t="shared" si="4"/>
        <v>0</v>
      </c>
      <c r="L19" s="26">
        <f t="shared" si="4"/>
        <v>0</v>
      </c>
      <c r="M19" s="26">
        <f t="shared" si="4"/>
        <v>0</v>
      </c>
      <c r="N19" s="26">
        <f t="shared" si="4"/>
        <v>0</v>
      </c>
      <c r="O19" s="26">
        <f t="shared" si="4"/>
        <v>0</v>
      </c>
      <c r="P19" s="26">
        <f t="shared" si="4"/>
        <v>0</v>
      </c>
      <c r="Q19" s="26">
        <f t="shared" si="4"/>
        <v>0</v>
      </c>
      <c r="R19" s="26">
        <f t="shared" si="4"/>
        <v>0</v>
      </c>
      <c r="S19" s="26">
        <f t="shared" si="4"/>
        <v>0</v>
      </c>
      <c r="T19" s="26">
        <f t="shared" si="4"/>
        <v>0</v>
      </c>
      <c r="U19" s="26">
        <f t="shared" si="4"/>
        <v>0</v>
      </c>
      <c r="V19" s="26">
        <f t="shared" si="4"/>
        <v>0</v>
      </c>
      <c r="W19" s="26">
        <f t="shared" si="4"/>
        <v>0</v>
      </c>
      <c r="X19" s="26">
        <f t="shared" si="4"/>
        <v>0</v>
      </c>
      <c r="Y19" s="26">
        <f t="shared" si="4"/>
        <v>0</v>
      </c>
      <c r="Z19" s="26">
        <f t="shared" si="4"/>
        <v>0</v>
      </c>
      <c r="AA19" s="26">
        <f t="shared" si="4"/>
        <v>0</v>
      </c>
      <c r="AB19" s="26">
        <f t="shared" si="4"/>
        <v>0</v>
      </c>
      <c r="AC19" s="26">
        <f t="shared" si="4"/>
        <v>0</v>
      </c>
      <c r="AD19" s="26">
        <f t="shared" si="4"/>
        <v>0</v>
      </c>
      <c r="AE19" s="26">
        <f t="shared" si="4"/>
        <v>0</v>
      </c>
      <c r="AF19" s="26">
        <f t="shared" si="4"/>
        <v>0</v>
      </c>
      <c r="AG19" s="26">
        <f t="shared" si="4"/>
        <v>0</v>
      </c>
      <c r="AH19" s="3"/>
      <c r="AI19" s="3"/>
      <c r="AJ19" s="3"/>
      <c r="AK19" s="3"/>
      <c r="AL19" s="3"/>
      <c r="AM19" s="27" t="s">
        <v>32</v>
      </c>
    </row>
    <row r="20">
      <c r="A20" s="15" t="s">
        <v>33</v>
      </c>
      <c r="C20" s="26">
        <f t="shared" ref="C20:AG20" si="5">COUNTIF(C8:C12, FALSE)</f>
        <v>4</v>
      </c>
      <c r="D20" s="26">
        <f t="shared" si="5"/>
        <v>5</v>
      </c>
      <c r="E20" s="26">
        <f t="shared" si="5"/>
        <v>5</v>
      </c>
      <c r="F20" s="26">
        <f t="shared" si="5"/>
        <v>5</v>
      </c>
      <c r="G20" s="26">
        <f t="shared" si="5"/>
        <v>5</v>
      </c>
      <c r="H20" s="26">
        <f t="shared" si="5"/>
        <v>5</v>
      </c>
      <c r="I20" s="26">
        <f t="shared" si="5"/>
        <v>5</v>
      </c>
      <c r="J20" s="26">
        <f t="shared" si="5"/>
        <v>5</v>
      </c>
      <c r="K20" s="26">
        <f t="shared" si="5"/>
        <v>5</v>
      </c>
      <c r="L20" s="26">
        <f t="shared" si="5"/>
        <v>5</v>
      </c>
      <c r="M20" s="26">
        <f t="shared" si="5"/>
        <v>5</v>
      </c>
      <c r="N20" s="26">
        <f t="shared" si="5"/>
        <v>5</v>
      </c>
      <c r="O20" s="26">
        <f t="shared" si="5"/>
        <v>5</v>
      </c>
      <c r="P20" s="26">
        <f t="shared" si="5"/>
        <v>5</v>
      </c>
      <c r="Q20" s="26">
        <f t="shared" si="5"/>
        <v>5</v>
      </c>
      <c r="R20" s="26">
        <f t="shared" si="5"/>
        <v>5</v>
      </c>
      <c r="S20" s="26">
        <f t="shared" si="5"/>
        <v>5</v>
      </c>
      <c r="T20" s="26">
        <f t="shared" si="5"/>
        <v>5</v>
      </c>
      <c r="U20" s="26">
        <f t="shared" si="5"/>
        <v>5</v>
      </c>
      <c r="V20" s="26">
        <f t="shared" si="5"/>
        <v>5</v>
      </c>
      <c r="W20" s="26">
        <f t="shared" si="5"/>
        <v>5</v>
      </c>
      <c r="X20" s="26">
        <f t="shared" si="5"/>
        <v>5</v>
      </c>
      <c r="Y20" s="26">
        <f t="shared" si="5"/>
        <v>5</v>
      </c>
      <c r="Z20" s="26">
        <f t="shared" si="5"/>
        <v>5</v>
      </c>
      <c r="AA20" s="26">
        <f t="shared" si="5"/>
        <v>5</v>
      </c>
      <c r="AB20" s="26">
        <f t="shared" si="5"/>
        <v>5</v>
      </c>
      <c r="AC20" s="26">
        <f t="shared" si="5"/>
        <v>5</v>
      </c>
      <c r="AD20" s="26">
        <f t="shared" si="5"/>
        <v>5</v>
      </c>
      <c r="AE20" s="26">
        <f t="shared" si="5"/>
        <v>5</v>
      </c>
      <c r="AF20" s="26">
        <f t="shared" si="5"/>
        <v>5</v>
      </c>
      <c r="AG20" s="26">
        <f t="shared" si="5"/>
        <v>5</v>
      </c>
      <c r="AH20" s="3"/>
      <c r="AI20" s="3"/>
      <c r="AJ20" s="3"/>
      <c r="AK20" s="3"/>
      <c r="AL20" s="3"/>
    </row>
    <row r="21">
      <c r="AD21" s="28"/>
      <c r="AE21" s="28"/>
      <c r="AF21" s="28"/>
      <c r="AG21" s="28"/>
      <c r="AH21" s="28"/>
      <c r="AI21" s="3"/>
      <c r="AJ21" s="3"/>
      <c r="AK21" s="3"/>
      <c r="AL21" s="3"/>
    </row>
    <row r="22">
      <c r="AD22" s="28"/>
      <c r="AE22" s="28"/>
      <c r="AF22" s="28"/>
      <c r="AG22" s="28"/>
      <c r="AH22" s="28"/>
      <c r="AI22" s="3"/>
      <c r="AJ22" s="3"/>
      <c r="AK22" s="3"/>
      <c r="AL22" s="3"/>
    </row>
    <row r="23">
      <c r="AI23" s="3"/>
      <c r="AJ23" s="3"/>
      <c r="AK23" s="3"/>
      <c r="AL23" s="3"/>
    </row>
    <row r="24">
      <c r="AI24" s="3"/>
      <c r="AJ24" s="3"/>
      <c r="AK24" s="3"/>
      <c r="AL24" s="3"/>
    </row>
    <row r="25">
      <c r="AI25" s="3"/>
      <c r="AJ25" s="3"/>
      <c r="AK25" s="3"/>
      <c r="AL25" s="3"/>
    </row>
    <row r="26">
      <c r="AD26" s="28"/>
      <c r="AE26" s="28"/>
      <c r="AF26" s="28"/>
      <c r="AG26" s="28"/>
      <c r="AH26" s="28"/>
      <c r="AI26" s="3"/>
      <c r="AJ26" s="3"/>
      <c r="AK26" s="3"/>
      <c r="AL26" s="3"/>
    </row>
    <row r="27"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</row>
    <row r="28"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</row>
    <row r="29">
      <c r="AD29" s="28"/>
      <c r="AE29" s="28"/>
      <c r="AF29" s="28"/>
      <c r="AG29" s="28"/>
      <c r="AH29" s="28"/>
      <c r="AM29" s="28"/>
      <c r="AN29" s="28"/>
      <c r="AO29" s="28"/>
      <c r="AP29" s="28"/>
    </row>
    <row r="30">
      <c r="AM30" s="28"/>
      <c r="AN30" s="28"/>
      <c r="AO30" s="28"/>
      <c r="AP30" s="28"/>
    </row>
    <row r="31">
      <c r="AM31" s="28"/>
      <c r="AN31" s="28"/>
      <c r="AO31" s="28"/>
      <c r="AP31" s="28"/>
    </row>
    <row r="32"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</row>
    <row r="33"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</row>
    <row r="34"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</row>
    <row r="35"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</row>
    <row r="36"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</row>
    <row r="37"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</row>
    <row r="38"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</row>
    <row r="39"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</row>
    <row r="40"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</row>
    <row r="41"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</row>
    <row r="42"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</row>
    <row r="43"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</row>
    <row r="44"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</row>
    <row r="45"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</row>
    <row r="46"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</row>
    <row r="47"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</row>
    <row r="48"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</row>
    <row r="49"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</row>
    <row r="50"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</row>
    <row r="51"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</row>
    <row r="52"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</row>
    <row r="53"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</row>
    <row r="54"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</row>
    <row r="55"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</row>
    <row r="56"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</row>
    <row r="57"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</row>
    <row r="58"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</row>
    <row r="59"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</row>
    <row r="60"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</row>
    <row r="61"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</row>
    <row r="62"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</row>
    <row r="63"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</row>
    <row r="64"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</row>
    <row r="65">
      <c r="J65" s="15" t="s">
        <v>27</v>
      </c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</row>
    <row r="66">
      <c r="J66" s="15" t="s">
        <v>25</v>
      </c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</row>
    <row r="67">
      <c r="J67" s="15" t="s">
        <v>34</v>
      </c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</row>
    <row r="68">
      <c r="J68" s="15" t="s">
        <v>26</v>
      </c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</row>
    <row r="69"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</row>
    <row r="70"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</row>
    <row r="71"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</row>
    <row r="72"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</row>
    <row r="73"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</row>
    <row r="74"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</row>
    <row r="75"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</row>
    <row r="76"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</row>
    <row r="77"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</row>
    <row r="78"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</row>
    <row r="79"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</row>
    <row r="80"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</row>
    <row r="81"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</row>
    <row r="82"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</row>
    <row r="83"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</row>
    <row r="84"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</row>
    <row r="85"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</row>
    <row r="86"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</row>
    <row r="87"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</row>
    <row r="88"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</row>
    <row r="89"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</row>
    <row r="90"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</row>
    <row r="91"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</row>
    <row r="92"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</row>
    <row r="93"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</row>
    <row r="94"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</row>
    <row r="95"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</row>
    <row r="96"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</row>
    <row r="97"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</row>
    <row r="98"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</row>
    <row r="99"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</row>
    <row r="100"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</row>
    <row r="101"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</row>
    <row r="102"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</row>
    <row r="103"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</row>
    <row r="104"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</row>
    <row r="105"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</row>
    <row r="106"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</row>
    <row r="107"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</row>
    <row r="108"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</row>
    <row r="109"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</row>
    <row r="110"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</row>
    <row r="111"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</row>
    <row r="112"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</row>
    <row r="113"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</row>
    <row r="114"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</row>
    <row r="115"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</row>
    <row r="116"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</row>
    <row r="117"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</row>
    <row r="118"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</row>
    <row r="119"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</row>
    <row r="120"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</row>
    <row r="121"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</row>
    <row r="122"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</row>
    <row r="123"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</row>
    <row r="124"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</row>
    <row r="125"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</row>
    <row r="126"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</row>
    <row r="127"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</row>
    <row r="128"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</row>
    <row r="129"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</row>
    <row r="130"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</row>
    <row r="131"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</row>
    <row r="132"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</row>
    <row r="133"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</row>
    <row r="134"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</row>
    <row r="135"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</row>
    <row r="136"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</row>
    <row r="137"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</row>
    <row r="138"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</row>
    <row r="139"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</row>
    <row r="140"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</row>
    <row r="141"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</row>
    <row r="142"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</row>
    <row r="143"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</row>
    <row r="144"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</row>
    <row r="145"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</row>
    <row r="146"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</row>
    <row r="147"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</row>
    <row r="148"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</row>
    <row r="149"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</row>
    <row r="150"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</row>
    <row r="151"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</row>
    <row r="152"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</row>
    <row r="153"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</row>
    <row r="154"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</row>
    <row r="155"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</row>
    <row r="156"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</row>
    <row r="157"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</row>
    <row r="158"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</row>
    <row r="159"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</row>
    <row r="160"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</row>
    <row r="161"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</row>
    <row r="162"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</row>
    <row r="163"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</row>
    <row r="164"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</row>
    <row r="165"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</row>
    <row r="166"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</row>
    <row r="167"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</row>
    <row r="168"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</row>
    <row r="169"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</row>
    <row r="170"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</row>
    <row r="171"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</row>
    <row r="172"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</row>
    <row r="173"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</row>
    <row r="174"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</row>
    <row r="175"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</row>
    <row r="176"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</row>
    <row r="177"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</row>
    <row r="178"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</row>
    <row r="179"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</row>
    <row r="180"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</row>
    <row r="181"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</row>
    <row r="182"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</row>
    <row r="183"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</row>
    <row r="184"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</row>
    <row r="185"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</row>
    <row r="186"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</row>
    <row r="187"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</row>
    <row r="188"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</row>
    <row r="189"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</row>
    <row r="190"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</row>
    <row r="191"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</row>
    <row r="192"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</row>
    <row r="193"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</row>
    <row r="194"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</row>
    <row r="195"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</row>
    <row r="196"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</row>
    <row r="197"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</row>
    <row r="198"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</row>
    <row r="199"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</row>
    <row r="200"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</row>
    <row r="201"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</row>
    <row r="202"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</row>
    <row r="203"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</row>
    <row r="204"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</row>
    <row r="205"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</row>
    <row r="206"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</row>
    <row r="207"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</row>
    <row r="208"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</row>
    <row r="209"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</row>
    <row r="210"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</row>
    <row r="211"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</row>
    <row r="212"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</row>
    <row r="213"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</row>
    <row r="214"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</row>
    <row r="215"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</row>
    <row r="216"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</row>
    <row r="217"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</row>
    <row r="218"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</row>
    <row r="219"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</row>
    <row r="220"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</row>
    <row r="221"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</row>
    <row r="222"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</row>
    <row r="223"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</row>
    <row r="224"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</row>
    <row r="225"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</row>
    <row r="226"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</row>
    <row r="227"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</row>
    <row r="228"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</row>
    <row r="229"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</row>
    <row r="230"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</row>
    <row r="231"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</row>
    <row r="232"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</row>
    <row r="233"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</row>
    <row r="234"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</row>
    <row r="235"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</row>
    <row r="236"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</row>
    <row r="237"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</row>
    <row r="238"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</row>
    <row r="239"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</row>
    <row r="240"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</row>
    <row r="241"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</row>
    <row r="242"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</row>
    <row r="243"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</row>
    <row r="244"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</row>
    <row r="245"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</row>
    <row r="246"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</row>
    <row r="247"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</row>
    <row r="248"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</row>
    <row r="249"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</row>
    <row r="250"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</row>
    <row r="251"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</row>
    <row r="252"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</row>
    <row r="253"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</row>
    <row r="254"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</row>
    <row r="255"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</row>
    <row r="256"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</row>
    <row r="257"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</row>
    <row r="258"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</row>
    <row r="259"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</row>
    <row r="260"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</row>
    <row r="261"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</row>
    <row r="262"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</row>
    <row r="263"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</row>
    <row r="264"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</row>
    <row r="265"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</row>
    <row r="266"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</row>
    <row r="267"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</row>
    <row r="268"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</row>
    <row r="269"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</row>
    <row r="270"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</row>
    <row r="271"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</row>
    <row r="272"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</row>
    <row r="273"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</row>
    <row r="274"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</row>
    <row r="275"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</row>
    <row r="276"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</row>
    <row r="277"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</row>
    <row r="278"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</row>
    <row r="279"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</row>
    <row r="280"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</row>
    <row r="281"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</row>
    <row r="282"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</row>
    <row r="283"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</row>
    <row r="284"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</row>
    <row r="285"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</row>
    <row r="286"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</row>
    <row r="287"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</row>
    <row r="288"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</row>
    <row r="289"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</row>
    <row r="290"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</row>
    <row r="291"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</row>
    <row r="292"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</row>
    <row r="293"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</row>
    <row r="294"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</row>
    <row r="295"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</row>
    <row r="296"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</row>
    <row r="297"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</row>
    <row r="298"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</row>
    <row r="299"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</row>
    <row r="300"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</row>
    <row r="301"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</row>
    <row r="302"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</row>
    <row r="303"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</row>
    <row r="304"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</row>
    <row r="305"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</row>
    <row r="306"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</row>
    <row r="307"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</row>
    <row r="308"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</row>
    <row r="309"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</row>
    <row r="310"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</row>
    <row r="311"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</row>
    <row r="312"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</row>
    <row r="313"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</row>
    <row r="314"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</row>
    <row r="315"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</row>
    <row r="316"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</row>
    <row r="317"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</row>
    <row r="318"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</row>
    <row r="319"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</row>
    <row r="320"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</row>
    <row r="321"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</row>
    <row r="322"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</row>
    <row r="323"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</row>
    <row r="324"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</row>
    <row r="325"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</row>
    <row r="326"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</row>
    <row r="327"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</row>
    <row r="328"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</row>
    <row r="329"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</row>
    <row r="330"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</row>
    <row r="331"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</row>
    <row r="332"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</row>
    <row r="333"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</row>
    <row r="334"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</row>
    <row r="335"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</row>
    <row r="336"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</row>
    <row r="337"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</row>
    <row r="338"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</row>
    <row r="339"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</row>
    <row r="340"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</row>
    <row r="341"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</row>
    <row r="342"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</row>
    <row r="343"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</row>
    <row r="344"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</row>
    <row r="345"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</row>
    <row r="346"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</row>
    <row r="347"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</row>
    <row r="348"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</row>
    <row r="349"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</row>
    <row r="350"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</row>
    <row r="351"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</row>
    <row r="352"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</row>
    <row r="353"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</row>
    <row r="354"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</row>
    <row r="355"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</row>
    <row r="356"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</row>
    <row r="357"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</row>
    <row r="358"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</row>
    <row r="359"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</row>
    <row r="360"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</row>
    <row r="361"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</row>
    <row r="362"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</row>
    <row r="363"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</row>
    <row r="364"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</row>
    <row r="365"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</row>
    <row r="366"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</row>
    <row r="367"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</row>
    <row r="368"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</row>
    <row r="369"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</row>
    <row r="370"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</row>
    <row r="371"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</row>
    <row r="372"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</row>
    <row r="373"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</row>
    <row r="374"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</row>
    <row r="375"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</row>
    <row r="376"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</row>
    <row r="377"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</row>
    <row r="378"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</row>
    <row r="379"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</row>
    <row r="380"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</row>
    <row r="381"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</row>
    <row r="382"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</row>
    <row r="383"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</row>
    <row r="384"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</row>
    <row r="385"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</row>
    <row r="386"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</row>
    <row r="387"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</row>
    <row r="388"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</row>
    <row r="389"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</row>
    <row r="390"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</row>
    <row r="391"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</row>
    <row r="392"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</row>
    <row r="393"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</row>
    <row r="394"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</row>
    <row r="395"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</row>
    <row r="396"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</row>
    <row r="397"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</row>
    <row r="398"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</row>
    <row r="399"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</row>
    <row r="400"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</row>
    <row r="401"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</row>
    <row r="402"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</row>
    <row r="403"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</row>
    <row r="404"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</row>
    <row r="405"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</row>
    <row r="406"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</row>
    <row r="407"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</row>
    <row r="408"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</row>
    <row r="409"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</row>
    <row r="410"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</row>
    <row r="411"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</row>
    <row r="412"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</row>
    <row r="413"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</row>
    <row r="414"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</row>
    <row r="415"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</row>
    <row r="416"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</row>
    <row r="417"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</row>
    <row r="418"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</row>
    <row r="419"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</row>
    <row r="420"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</row>
    <row r="421"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</row>
    <row r="422"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</row>
    <row r="423"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</row>
    <row r="424"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</row>
    <row r="425"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</row>
    <row r="426"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</row>
    <row r="427"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</row>
    <row r="428"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</row>
    <row r="429"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</row>
    <row r="430"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</row>
    <row r="431"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</row>
    <row r="432"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</row>
    <row r="433"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</row>
    <row r="434"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</row>
    <row r="435"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</row>
    <row r="436"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</row>
    <row r="437"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</row>
    <row r="438"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</row>
    <row r="439"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</row>
    <row r="440"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</row>
    <row r="441"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</row>
    <row r="442"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</row>
    <row r="443"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</row>
    <row r="444"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</row>
    <row r="445"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</row>
    <row r="446"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</row>
    <row r="447"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</row>
    <row r="448"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</row>
    <row r="449"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</row>
    <row r="450"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</row>
    <row r="451"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</row>
    <row r="452"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</row>
    <row r="453"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</row>
    <row r="454"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</row>
    <row r="455"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</row>
    <row r="456"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</row>
    <row r="457"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</row>
    <row r="458"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</row>
    <row r="459"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</row>
    <row r="460"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</row>
    <row r="461"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</row>
    <row r="462"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</row>
    <row r="463"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</row>
    <row r="464"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</row>
    <row r="465"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</row>
    <row r="466"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</row>
    <row r="467"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</row>
    <row r="468"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</row>
    <row r="469"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</row>
    <row r="470"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</row>
    <row r="471"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</row>
    <row r="472"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</row>
    <row r="473"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</row>
    <row r="474"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</row>
    <row r="475"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</row>
    <row r="476"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</row>
    <row r="477"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</row>
    <row r="478"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</row>
    <row r="479"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</row>
    <row r="480"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</row>
    <row r="481"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</row>
    <row r="482"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</row>
    <row r="483"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</row>
    <row r="484"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</row>
    <row r="485"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</row>
    <row r="486"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</row>
    <row r="487"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</row>
    <row r="488"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</row>
    <row r="489"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</row>
    <row r="490"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</row>
    <row r="491"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</row>
    <row r="492"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</row>
    <row r="493"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</row>
    <row r="494"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</row>
    <row r="495"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</row>
    <row r="496"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</row>
    <row r="497"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</row>
    <row r="498"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</row>
    <row r="499"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</row>
    <row r="500"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</row>
    <row r="501"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</row>
    <row r="502"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</row>
    <row r="503"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</row>
    <row r="504"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</row>
    <row r="505"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</row>
    <row r="506"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</row>
    <row r="507"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</row>
    <row r="508"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</row>
    <row r="509"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</row>
    <row r="510"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</row>
    <row r="511"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</row>
    <row r="512"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</row>
    <row r="513"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</row>
    <row r="514"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</row>
    <row r="515"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</row>
    <row r="516"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</row>
    <row r="517"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</row>
    <row r="518"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</row>
    <row r="519"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</row>
    <row r="520"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</row>
    <row r="521"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</row>
    <row r="522"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</row>
    <row r="523"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</row>
    <row r="524"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</row>
    <row r="525"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</row>
    <row r="526"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</row>
    <row r="527"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</row>
    <row r="528"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</row>
    <row r="529"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</row>
    <row r="530"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</row>
    <row r="531"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</row>
    <row r="532"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</row>
    <row r="533"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</row>
    <row r="534"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</row>
    <row r="535"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</row>
    <row r="536"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</row>
    <row r="537"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</row>
    <row r="538"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</row>
    <row r="539"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</row>
    <row r="540"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</row>
    <row r="541"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</row>
    <row r="542"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</row>
    <row r="543"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</row>
    <row r="544"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</row>
    <row r="545"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</row>
    <row r="546"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</row>
    <row r="547"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</row>
    <row r="548"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</row>
    <row r="549"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</row>
    <row r="550"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</row>
    <row r="551"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</row>
    <row r="552"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</row>
    <row r="553"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</row>
    <row r="554"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</row>
    <row r="555"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</row>
    <row r="556"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</row>
    <row r="557"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</row>
    <row r="558"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</row>
    <row r="559"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</row>
    <row r="560"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</row>
    <row r="561"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</row>
    <row r="562"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</row>
    <row r="563"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</row>
    <row r="564"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</row>
    <row r="565"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</row>
    <row r="566"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</row>
    <row r="567"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</row>
    <row r="568"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</row>
    <row r="569"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</row>
    <row r="570"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</row>
    <row r="571"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</row>
    <row r="572"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</row>
    <row r="573"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</row>
    <row r="574"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</row>
    <row r="575"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</row>
    <row r="576"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</row>
    <row r="577"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</row>
    <row r="578"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</row>
    <row r="579"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</row>
    <row r="580"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</row>
    <row r="581"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</row>
    <row r="582"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</row>
    <row r="583"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</row>
    <row r="584"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</row>
    <row r="585"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</row>
    <row r="586"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</row>
    <row r="587"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</row>
    <row r="588"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</row>
    <row r="589"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</row>
    <row r="590"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</row>
    <row r="591"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</row>
    <row r="592"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</row>
    <row r="593"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</row>
    <row r="594"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</row>
    <row r="595"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</row>
    <row r="596"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</row>
    <row r="597"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</row>
    <row r="598"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</row>
    <row r="599"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</row>
    <row r="600"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</row>
    <row r="601"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</row>
    <row r="602"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</row>
    <row r="603"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</row>
    <row r="604"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</row>
    <row r="605"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</row>
    <row r="606"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</row>
    <row r="607"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</row>
    <row r="608"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</row>
    <row r="609"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</row>
    <row r="610"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</row>
    <row r="611"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</row>
    <row r="612"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</row>
    <row r="613"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</row>
    <row r="614"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</row>
    <row r="615"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</row>
    <row r="616"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</row>
    <row r="617"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</row>
    <row r="618"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</row>
    <row r="619"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</row>
    <row r="620"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</row>
    <row r="621"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</row>
    <row r="622"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</row>
    <row r="623"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</row>
    <row r="624"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</row>
    <row r="625"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</row>
    <row r="626"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</row>
    <row r="627"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</row>
    <row r="628"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</row>
    <row r="629"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</row>
    <row r="630"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</row>
    <row r="631"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</row>
    <row r="632"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</row>
    <row r="633"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</row>
    <row r="634"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</row>
    <row r="635"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</row>
    <row r="636"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</row>
    <row r="637"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</row>
    <row r="638"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</row>
    <row r="639"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</row>
    <row r="640"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</row>
    <row r="641"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</row>
    <row r="642"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</row>
    <row r="643"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</row>
    <row r="644"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</row>
    <row r="645"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</row>
    <row r="646"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</row>
    <row r="647"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</row>
    <row r="648"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</row>
    <row r="649"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</row>
    <row r="650"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</row>
    <row r="651"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</row>
    <row r="652"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</row>
    <row r="653"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</row>
    <row r="654"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</row>
    <row r="655"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</row>
    <row r="656"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</row>
    <row r="657"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</row>
    <row r="658"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</row>
    <row r="659"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</row>
    <row r="660"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</row>
    <row r="661"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</row>
    <row r="662"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</row>
    <row r="663"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</row>
    <row r="664"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</row>
    <row r="665"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</row>
    <row r="666"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</row>
    <row r="667"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</row>
    <row r="668"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</row>
    <row r="669"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</row>
    <row r="670"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</row>
    <row r="671"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</row>
    <row r="672"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</row>
    <row r="673"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</row>
    <row r="674"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</row>
    <row r="675"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</row>
    <row r="676"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</row>
    <row r="677"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</row>
    <row r="678"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</row>
    <row r="679"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</row>
    <row r="680"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</row>
    <row r="681"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</row>
    <row r="682"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</row>
    <row r="683"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</row>
    <row r="684"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</row>
    <row r="685"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</row>
    <row r="686"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</row>
    <row r="687"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</row>
    <row r="688"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</row>
    <row r="689"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</row>
    <row r="690"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</row>
    <row r="691"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</row>
    <row r="692"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</row>
    <row r="693"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</row>
    <row r="694"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</row>
    <row r="695"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</row>
    <row r="696"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</row>
    <row r="697"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</row>
    <row r="698"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</row>
    <row r="699"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</row>
    <row r="700"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</row>
    <row r="701"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</row>
    <row r="702"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</row>
    <row r="703"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</row>
    <row r="704"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</row>
    <row r="705"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</row>
    <row r="706"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</row>
    <row r="707"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</row>
    <row r="708"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</row>
    <row r="709"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</row>
    <row r="710"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</row>
    <row r="711"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</row>
    <row r="712"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</row>
    <row r="713"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</row>
    <row r="714"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</row>
    <row r="715"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</row>
    <row r="716"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</row>
    <row r="717"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</row>
    <row r="718"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</row>
    <row r="719"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</row>
    <row r="720"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</row>
    <row r="721"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</row>
    <row r="722"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</row>
    <row r="723"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</row>
    <row r="724"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</row>
    <row r="725"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</row>
    <row r="726"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</row>
    <row r="727"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</row>
    <row r="728"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</row>
    <row r="729"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</row>
    <row r="730"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</row>
    <row r="731"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</row>
    <row r="732"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</row>
    <row r="733"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</row>
    <row r="734"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</row>
    <row r="735"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</row>
    <row r="736"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</row>
    <row r="737"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</row>
    <row r="738"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</row>
    <row r="739"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</row>
    <row r="740"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</row>
    <row r="741"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</row>
    <row r="742"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</row>
    <row r="743"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</row>
    <row r="744"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</row>
    <row r="745"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</row>
    <row r="746"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</row>
    <row r="747"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</row>
    <row r="748"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</row>
    <row r="749"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</row>
    <row r="750"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</row>
    <row r="751"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</row>
    <row r="752"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</row>
    <row r="753"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</row>
    <row r="754"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</row>
    <row r="755"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</row>
    <row r="756"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</row>
    <row r="757"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</row>
    <row r="758"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</row>
    <row r="759"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</row>
    <row r="760"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</row>
    <row r="761"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</row>
    <row r="762"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</row>
    <row r="763"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</row>
    <row r="764"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</row>
    <row r="765"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</row>
    <row r="766"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</row>
    <row r="767"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</row>
    <row r="768"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</row>
    <row r="769"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</row>
    <row r="770"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</row>
    <row r="771"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</row>
    <row r="772"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</row>
    <row r="773"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</row>
    <row r="774"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</row>
    <row r="775"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</row>
    <row r="776"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</row>
    <row r="777"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</row>
    <row r="778"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</row>
    <row r="779"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</row>
    <row r="780"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</row>
    <row r="781"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</row>
    <row r="782"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</row>
    <row r="783"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</row>
    <row r="784"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</row>
    <row r="785"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</row>
    <row r="786"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</row>
    <row r="787"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</row>
    <row r="788"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</row>
    <row r="789"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</row>
    <row r="790"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</row>
    <row r="791"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</row>
    <row r="792"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</row>
    <row r="793"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</row>
    <row r="794"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</row>
    <row r="795"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</row>
    <row r="796"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</row>
    <row r="797"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</row>
    <row r="798"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</row>
    <row r="799"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</row>
    <row r="800"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</row>
    <row r="801"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</row>
    <row r="802"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</row>
    <row r="803"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</row>
    <row r="804"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</row>
    <row r="805"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</row>
    <row r="806"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</row>
    <row r="807"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</row>
    <row r="808"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</row>
    <row r="809"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</row>
    <row r="810"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</row>
    <row r="811"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</row>
    <row r="812"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</row>
    <row r="813"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</row>
    <row r="814"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</row>
    <row r="815"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</row>
    <row r="816"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</row>
    <row r="817"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</row>
    <row r="818"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</row>
    <row r="819"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</row>
    <row r="820"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</row>
    <row r="821"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</row>
    <row r="822"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</row>
    <row r="823"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</row>
    <row r="824"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</row>
    <row r="825"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</row>
    <row r="826"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</row>
    <row r="827"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</row>
    <row r="828"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</row>
    <row r="829"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</row>
    <row r="830"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</row>
    <row r="831"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</row>
    <row r="832"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</row>
    <row r="833"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</row>
    <row r="834"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</row>
    <row r="835"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</row>
    <row r="836"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</row>
    <row r="837"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</row>
    <row r="838"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</row>
    <row r="839"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</row>
    <row r="840"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</row>
    <row r="841"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</row>
    <row r="842"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</row>
    <row r="843"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</row>
    <row r="844"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</row>
    <row r="845"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</row>
    <row r="846"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</row>
    <row r="847"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</row>
    <row r="848"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</row>
    <row r="849"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</row>
    <row r="850"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</row>
    <row r="851"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</row>
    <row r="852"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</row>
    <row r="853"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</row>
    <row r="854"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</row>
    <row r="855"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</row>
    <row r="856"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</row>
    <row r="857"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</row>
    <row r="858"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</row>
    <row r="859"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</row>
    <row r="860"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</row>
    <row r="861"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</row>
    <row r="862"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</row>
    <row r="863"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</row>
    <row r="864"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</row>
    <row r="865"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</row>
    <row r="866"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</row>
    <row r="867"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</row>
    <row r="868"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</row>
    <row r="869"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</row>
    <row r="870"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</row>
    <row r="871"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</row>
    <row r="872"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</row>
    <row r="873"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</row>
    <row r="874"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</row>
    <row r="875"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</row>
    <row r="876"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</row>
    <row r="877"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</row>
    <row r="878"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</row>
    <row r="879"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</row>
    <row r="880"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</row>
    <row r="881"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</row>
    <row r="882"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</row>
    <row r="883"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</row>
    <row r="884"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</row>
    <row r="885"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</row>
    <row r="886"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</row>
    <row r="887"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</row>
    <row r="888"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</row>
    <row r="889"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</row>
    <row r="890"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</row>
    <row r="891"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</row>
    <row r="892"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</row>
    <row r="893"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</row>
    <row r="894"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</row>
    <row r="895"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</row>
    <row r="896"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</row>
    <row r="897"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</row>
    <row r="898"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</row>
    <row r="899"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</row>
    <row r="900"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</row>
    <row r="901"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</row>
    <row r="902"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</row>
    <row r="903"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</row>
    <row r="904"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</row>
    <row r="905"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</row>
    <row r="906"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</row>
    <row r="907"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</row>
    <row r="908"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</row>
    <row r="909"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</row>
    <row r="910"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</row>
    <row r="911"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</row>
    <row r="912"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</row>
    <row r="913"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</row>
    <row r="914"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</row>
    <row r="915"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</row>
    <row r="916"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</row>
    <row r="917"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</row>
    <row r="918"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</row>
    <row r="919"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</row>
    <row r="920"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</row>
    <row r="921"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</row>
    <row r="922"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</row>
    <row r="923"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</row>
    <row r="924"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</row>
    <row r="925"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</row>
    <row r="926"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</row>
    <row r="927"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</row>
    <row r="928"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</row>
    <row r="929"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</row>
    <row r="930"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</row>
    <row r="931"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</row>
    <row r="932"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</row>
    <row r="933"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</row>
    <row r="934"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</row>
    <row r="935"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</row>
    <row r="936"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</row>
    <row r="937"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</row>
    <row r="938"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</row>
    <row r="939"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</row>
    <row r="940"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</row>
    <row r="941"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</row>
    <row r="942"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</row>
    <row r="943"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</row>
    <row r="944"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</row>
    <row r="945"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</row>
    <row r="946"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</row>
    <row r="947"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</row>
    <row r="948"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</row>
    <row r="949"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</row>
    <row r="950"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</row>
    <row r="951"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</row>
    <row r="952"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</row>
    <row r="953"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</row>
    <row r="954"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</row>
    <row r="955"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</row>
    <row r="956"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</row>
    <row r="957"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</row>
    <row r="958"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</row>
    <row r="959"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</row>
    <row r="960"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</row>
    <row r="961"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</row>
    <row r="962"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</row>
    <row r="963"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</row>
    <row r="964"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</row>
    <row r="965"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</row>
    <row r="966"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</row>
    <row r="967"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</row>
    <row r="968"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</row>
    <row r="969"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</row>
    <row r="970"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</row>
    <row r="971"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</row>
    <row r="972"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</row>
    <row r="973"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</row>
    <row r="974"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</row>
    <row r="975"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</row>
    <row r="976"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</row>
    <row r="977"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</row>
    <row r="978"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</row>
    <row r="979"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</row>
    <row r="980"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</row>
    <row r="981"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</row>
    <row r="982"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</row>
    <row r="983"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</row>
    <row r="984"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</row>
    <row r="985"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</row>
    <row r="986"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</row>
    <row r="987"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</row>
    <row r="988"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</row>
    <row r="989"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</row>
    <row r="990"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</row>
    <row r="991"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</row>
    <row r="992"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</row>
    <row r="993"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</row>
    <row r="994"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</row>
    <row r="995"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</row>
    <row r="996"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</row>
    <row r="997"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</row>
    <row r="998"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</row>
    <row r="999"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</row>
    <row r="1000"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</row>
    <row r="1001">
      <c r="AD1001" s="28"/>
      <c r="AE1001" s="28"/>
      <c r="AF1001" s="28"/>
      <c r="AG1001" s="28"/>
      <c r="AH1001" s="28"/>
      <c r="AI1001" s="28"/>
      <c r="AJ1001" s="28"/>
      <c r="AK1001" s="28"/>
      <c r="AL1001" s="28"/>
      <c r="AM1001" s="28"/>
      <c r="AN1001" s="28"/>
      <c r="AO1001" s="28"/>
      <c r="AP1001" s="28"/>
    </row>
    <row r="1002">
      <c r="AD1002" s="28"/>
      <c r="AE1002" s="28"/>
      <c r="AF1002" s="28"/>
      <c r="AG1002" s="28"/>
      <c r="AH1002" s="28"/>
      <c r="AI1002" s="28"/>
      <c r="AJ1002" s="28"/>
      <c r="AK1002" s="28"/>
      <c r="AL1002" s="28"/>
      <c r="AM1002" s="28"/>
      <c r="AN1002" s="28"/>
      <c r="AO1002" s="28"/>
      <c r="AP1002" s="28"/>
    </row>
  </sheetData>
  <mergeCells count="23">
    <mergeCell ref="I3:AG3"/>
    <mergeCell ref="A1:H3"/>
    <mergeCell ref="I1:N1"/>
    <mergeCell ref="O1:V1"/>
    <mergeCell ref="W1:AC1"/>
    <mergeCell ref="AD1:AG1"/>
    <mergeCell ref="I2:N2"/>
    <mergeCell ref="O2:V2"/>
    <mergeCell ref="J5:P5"/>
    <mergeCell ref="Q5:W5"/>
    <mergeCell ref="AM18:AP18"/>
    <mergeCell ref="A18:B18"/>
    <mergeCell ref="A19:B19"/>
    <mergeCell ref="A20:B20"/>
    <mergeCell ref="A5:B7"/>
    <mergeCell ref="C5:I5"/>
    <mergeCell ref="AE5:AK5"/>
    <mergeCell ref="AM5:AP6"/>
    <mergeCell ref="AM19:AP26"/>
    <mergeCell ref="A4:AG4"/>
    <mergeCell ref="W2:AC2"/>
    <mergeCell ref="AD2:AG2"/>
    <mergeCell ref="X5:AD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26.25"/>
    <col customWidth="1" min="3" max="22" width="4.13"/>
    <col customWidth="1" min="23" max="23" width="4.5"/>
    <col customWidth="1" min="24" max="35" width="4.13"/>
    <col customWidth="1" min="36" max="36" width="5.38"/>
    <col customWidth="1" min="37" max="37" width="3.75"/>
    <col customWidth="1" min="38" max="38" width="5.25"/>
    <col customWidth="1" min="39" max="39" width="4.5"/>
    <col customWidth="1" min="40" max="40" width="4.75"/>
    <col customWidth="1" min="41" max="41" width="6.88"/>
    <col customWidth="1" min="42" max="42" width="13.25"/>
  </cols>
  <sheetData>
    <row r="1" ht="36.75" customHeight="1">
      <c r="A1" s="1" t="s">
        <v>0</v>
      </c>
      <c r="I1" s="2" t="s">
        <v>1</v>
      </c>
      <c r="O1" s="2" t="s">
        <v>2</v>
      </c>
      <c r="W1" s="2" t="s">
        <v>3</v>
      </c>
      <c r="AD1" s="2" t="s">
        <v>4</v>
      </c>
      <c r="AH1" s="3"/>
      <c r="AI1" s="3"/>
      <c r="AJ1" s="3"/>
      <c r="AK1" s="3"/>
      <c r="AL1" s="3"/>
    </row>
    <row r="2">
      <c r="I2" s="2">
        <v>8.0</v>
      </c>
      <c r="O2" s="4">
        <f>COUNTIF(C8:AG12, TRUE)</f>
        <v>1</v>
      </c>
      <c r="W2" s="5" t="str">
        <f>IFERROR(__xludf.DUMMYFUNCTION("SPARKLINE(AD2, {""charttype"",""bar""; ""max"",1;""color1"",""green""; ""empty"",""zero""})"),"")</f>
        <v/>
      </c>
      <c r="X2" s="6"/>
      <c r="Y2" s="6"/>
      <c r="Z2" s="6"/>
      <c r="AA2" s="6"/>
      <c r="AB2" s="6"/>
      <c r="AC2" s="7"/>
      <c r="AD2" s="8">
        <f>SUM(O2) / (COUNTA(C8:AG8) * ROWS(C8:AG15))</f>
        <v>0.004032258065</v>
      </c>
      <c r="AH2" s="3"/>
      <c r="AI2" s="3"/>
      <c r="AJ2" s="3"/>
      <c r="AK2" s="3"/>
      <c r="AL2" s="3"/>
    </row>
    <row r="3">
      <c r="I3" s="9"/>
      <c r="AH3" s="3"/>
      <c r="AI3" s="3"/>
      <c r="AJ3" s="3"/>
      <c r="AK3" s="3"/>
      <c r="AL3" s="3"/>
    </row>
    <row r="4">
      <c r="A4" s="10"/>
      <c r="AH4" s="3"/>
      <c r="AI4" s="3"/>
      <c r="AJ4" s="3"/>
      <c r="AK4" s="3"/>
      <c r="AL4" s="3"/>
      <c r="AM4" s="3"/>
      <c r="AN4" s="3"/>
      <c r="AO4" s="3"/>
      <c r="AP4" s="3"/>
    </row>
    <row r="5">
      <c r="A5" s="11" t="s">
        <v>5</v>
      </c>
      <c r="C5" s="12" t="s">
        <v>6</v>
      </c>
      <c r="J5" s="11" t="s">
        <v>7</v>
      </c>
      <c r="Q5" s="12" t="s">
        <v>8</v>
      </c>
      <c r="X5" s="11" t="s">
        <v>9</v>
      </c>
      <c r="AE5" s="12" t="s">
        <v>10</v>
      </c>
      <c r="AM5" s="13" t="s">
        <v>11</v>
      </c>
    </row>
    <row r="6"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2" t="s">
        <v>17</v>
      </c>
      <c r="I6" s="12" t="s">
        <v>18</v>
      </c>
      <c r="J6" s="11" t="s">
        <v>12</v>
      </c>
      <c r="K6" s="11" t="s">
        <v>13</v>
      </c>
      <c r="L6" s="11" t="s">
        <v>14</v>
      </c>
      <c r="M6" s="11" t="s">
        <v>15</v>
      </c>
      <c r="N6" s="11" t="s">
        <v>16</v>
      </c>
      <c r="O6" s="11" t="s">
        <v>17</v>
      </c>
      <c r="P6" s="11" t="s">
        <v>18</v>
      </c>
      <c r="Q6" s="12" t="s">
        <v>12</v>
      </c>
      <c r="R6" s="12" t="s">
        <v>13</v>
      </c>
      <c r="S6" s="12" t="s">
        <v>14</v>
      </c>
      <c r="T6" s="12" t="s">
        <v>15</v>
      </c>
      <c r="U6" s="12" t="s">
        <v>16</v>
      </c>
      <c r="V6" s="12" t="s">
        <v>17</v>
      </c>
      <c r="W6" s="12" t="s">
        <v>18</v>
      </c>
      <c r="X6" s="11" t="s">
        <v>12</v>
      </c>
      <c r="Y6" s="11" t="s">
        <v>13</v>
      </c>
      <c r="Z6" s="11" t="s">
        <v>14</v>
      </c>
      <c r="AA6" s="11" t="s">
        <v>15</v>
      </c>
      <c r="AB6" s="11" t="s">
        <v>16</v>
      </c>
      <c r="AC6" s="11" t="s">
        <v>17</v>
      </c>
      <c r="AD6" s="11" t="s">
        <v>18</v>
      </c>
      <c r="AE6" s="12" t="s">
        <v>12</v>
      </c>
      <c r="AF6" s="12" t="s">
        <v>13</v>
      </c>
      <c r="AG6" s="12" t="s">
        <v>14</v>
      </c>
      <c r="AH6" s="12" t="s">
        <v>15</v>
      </c>
      <c r="AI6" s="12" t="s">
        <v>16</v>
      </c>
      <c r="AJ6" s="12" t="s">
        <v>17</v>
      </c>
      <c r="AK6" s="12" t="s">
        <v>18</v>
      </c>
      <c r="AL6" s="3"/>
    </row>
    <row r="7">
      <c r="C7" s="12">
        <v>2.0</v>
      </c>
      <c r="D7" s="12">
        <v>3.0</v>
      </c>
      <c r="E7" s="12">
        <v>4.0</v>
      </c>
      <c r="F7" s="12">
        <v>5.0</v>
      </c>
      <c r="G7" s="12">
        <v>6.0</v>
      </c>
      <c r="H7" s="12">
        <v>7.0</v>
      </c>
      <c r="I7" s="12">
        <v>8.0</v>
      </c>
      <c r="J7" s="11">
        <v>9.0</v>
      </c>
      <c r="K7" s="11">
        <v>10.0</v>
      </c>
      <c r="L7" s="11">
        <v>11.0</v>
      </c>
      <c r="M7" s="11">
        <v>12.0</v>
      </c>
      <c r="N7" s="11">
        <v>13.0</v>
      </c>
      <c r="O7" s="11">
        <v>14.0</v>
      </c>
      <c r="P7" s="11">
        <v>15.0</v>
      </c>
      <c r="Q7" s="12">
        <v>16.0</v>
      </c>
      <c r="R7" s="12">
        <v>17.0</v>
      </c>
      <c r="S7" s="12">
        <v>18.0</v>
      </c>
      <c r="T7" s="12">
        <v>19.0</v>
      </c>
      <c r="U7" s="12">
        <v>20.0</v>
      </c>
      <c r="V7" s="12">
        <v>21.0</v>
      </c>
      <c r="W7" s="12">
        <v>22.0</v>
      </c>
      <c r="X7" s="11">
        <v>23.0</v>
      </c>
      <c r="Y7" s="11">
        <v>24.0</v>
      </c>
      <c r="Z7" s="11">
        <v>25.0</v>
      </c>
      <c r="AA7" s="11">
        <v>26.0</v>
      </c>
      <c r="AB7" s="11">
        <v>27.0</v>
      </c>
      <c r="AC7" s="11">
        <v>28.0</v>
      </c>
      <c r="AD7" s="11">
        <v>29.0</v>
      </c>
      <c r="AE7" s="12">
        <v>30.0</v>
      </c>
      <c r="AF7" s="12">
        <v>31.0</v>
      </c>
      <c r="AG7" s="12">
        <v>1.0</v>
      </c>
      <c r="AH7" s="12">
        <v>2.0</v>
      </c>
      <c r="AI7" s="12">
        <v>3.0</v>
      </c>
      <c r="AJ7" s="12">
        <v>4.0</v>
      </c>
      <c r="AK7" s="12">
        <v>5.0</v>
      </c>
      <c r="AL7" s="3"/>
      <c r="AM7" s="14" t="s">
        <v>19</v>
      </c>
      <c r="AN7" s="14" t="s">
        <v>20</v>
      </c>
      <c r="AO7" s="14" t="s">
        <v>21</v>
      </c>
      <c r="AP7" s="14" t="s">
        <v>3</v>
      </c>
    </row>
    <row r="8">
      <c r="A8" s="15">
        <v>1.0</v>
      </c>
      <c r="B8" s="15" t="s">
        <v>22</v>
      </c>
      <c r="C8" s="16" t="b">
        <v>1</v>
      </c>
      <c r="D8" s="16" t="b">
        <v>0</v>
      </c>
      <c r="E8" s="16" t="b">
        <v>0</v>
      </c>
      <c r="F8" s="16" t="b">
        <v>0</v>
      </c>
      <c r="G8" s="16" t="b">
        <v>0</v>
      </c>
      <c r="H8" s="16" t="b">
        <v>0</v>
      </c>
      <c r="I8" s="16" t="b">
        <v>0</v>
      </c>
      <c r="J8" s="17" t="b">
        <v>0</v>
      </c>
      <c r="K8" s="17" t="b">
        <v>0</v>
      </c>
      <c r="L8" s="17" t="b">
        <v>0</v>
      </c>
      <c r="M8" s="17" t="b">
        <v>0</v>
      </c>
      <c r="N8" s="17" t="b">
        <v>0</v>
      </c>
      <c r="O8" s="17" t="b">
        <v>0</v>
      </c>
      <c r="P8" s="17" t="b">
        <v>0</v>
      </c>
      <c r="Q8" s="16" t="b">
        <v>0</v>
      </c>
      <c r="R8" s="16" t="b">
        <v>0</v>
      </c>
      <c r="S8" s="16" t="b">
        <v>0</v>
      </c>
      <c r="T8" s="16" t="b">
        <v>0</v>
      </c>
      <c r="U8" s="16" t="b">
        <v>0</v>
      </c>
      <c r="V8" s="16" t="b">
        <v>0</v>
      </c>
      <c r="W8" s="16" t="b">
        <v>0</v>
      </c>
      <c r="X8" s="17" t="b">
        <v>0</v>
      </c>
      <c r="Y8" s="17" t="b">
        <v>0</v>
      </c>
      <c r="Z8" s="17" t="b">
        <v>0</v>
      </c>
      <c r="AA8" s="17" t="b">
        <v>0</v>
      </c>
      <c r="AB8" s="17" t="b">
        <v>0</v>
      </c>
      <c r="AC8" s="17" t="b">
        <v>0</v>
      </c>
      <c r="AD8" s="17" t="b">
        <v>0</v>
      </c>
      <c r="AE8" s="16" t="b">
        <v>0</v>
      </c>
      <c r="AF8" s="16" t="b">
        <v>0</v>
      </c>
      <c r="AG8" s="16" t="b">
        <v>0</v>
      </c>
      <c r="AH8" s="16" t="b">
        <v>0</v>
      </c>
      <c r="AI8" s="16" t="b">
        <v>0</v>
      </c>
      <c r="AJ8" s="16" t="b">
        <v>0</v>
      </c>
      <c r="AK8" s="16" t="b">
        <v>0</v>
      </c>
      <c r="AL8" s="3"/>
      <c r="AM8" s="18">
        <v>31.0</v>
      </c>
      <c r="AN8" s="18">
        <f t="shared" ref="AN8:AN15" si="1">COUNTIF(C8:AK8, TRUE)</f>
        <v>1</v>
      </c>
      <c r="AO8" s="19">
        <f t="shared" ref="AO8:AO15" si="2">SUM(AN8 / (COUNTA(C8:AK8) * ROWS(C8:AK8)))</f>
        <v>0.02857142857</v>
      </c>
      <c r="AP8" s="20" t="str">
        <f>IFERROR(__xludf.DUMMYFUNCTION("SPARKLINE(AO8, {""charttype"",""bar""; ""max"",1;""color1"",""green""; ""empty"",""zero""})"),"")</f>
        <v/>
      </c>
    </row>
    <row r="9">
      <c r="A9" s="15">
        <v>2.0</v>
      </c>
      <c r="B9" s="15" t="s">
        <v>23</v>
      </c>
      <c r="C9" s="16" t="b">
        <v>0</v>
      </c>
      <c r="D9" s="21" t="b">
        <v>0</v>
      </c>
      <c r="E9" s="16" t="b">
        <v>0</v>
      </c>
      <c r="F9" s="21" t="b">
        <v>0</v>
      </c>
      <c r="G9" s="16" t="b">
        <v>0</v>
      </c>
      <c r="H9" s="21" t="b">
        <v>0</v>
      </c>
      <c r="I9" s="21" t="b">
        <v>0</v>
      </c>
      <c r="J9" s="22" t="b">
        <v>0</v>
      </c>
      <c r="K9" s="22" t="b">
        <v>0</v>
      </c>
      <c r="L9" s="22" t="b">
        <v>0</v>
      </c>
      <c r="M9" s="22" t="b">
        <v>0</v>
      </c>
      <c r="N9" s="22" t="b">
        <v>0</v>
      </c>
      <c r="O9" s="17" t="b">
        <v>0</v>
      </c>
      <c r="P9" s="17" t="b">
        <v>0</v>
      </c>
      <c r="Q9" s="21" t="b">
        <v>0</v>
      </c>
      <c r="R9" s="16" t="b">
        <v>0</v>
      </c>
      <c r="S9" s="16" t="b">
        <v>0</v>
      </c>
      <c r="T9" s="21" t="b">
        <v>0</v>
      </c>
      <c r="U9" s="16" t="b">
        <v>0</v>
      </c>
      <c r="V9" s="16" t="b">
        <v>0</v>
      </c>
      <c r="W9" s="21" t="b">
        <v>0</v>
      </c>
      <c r="X9" s="17" t="b">
        <v>0</v>
      </c>
      <c r="Y9" s="22" t="b">
        <v>0</v>
      </c>
      <c r="Z9" s="22" t="b">
        <v>0</v>
      </c>
      <c r="AA9" s="22" t="b">
        <v>0</v>
      </c>
      <c r="AB9" s="22" t="b">
        <v>0</v>
      </c>
      <c r="AC9" s="22" t="b">
        <v>0</v>
      </c>
      <c r="AD9" s="22" t="b">
        <v>0</v>
      </c>
      <c r="AE9" s="21" t="b">
        <v>0</v>
      </c>
      <c r="AF9" s="21" t="b">
        <v>0</v>
      </c>
      <c r="AG9" s="21" t="b">
        <v>0</v>
      </c>
      <c r="AH9" s="21" t="b">
        <v>0</v>
      </c>
      <c r="AI9" s="21" t="b">
        <v>0</v>
      </c>
      <c r="AJ9" s="16" t="b">
        <v>0</v>
      </c>
      <c r="AK9" s="21" t="b">
        <v>0</v>
      </c>
      <c r="AL9" s="3"/>
      <c r="AM9" s="18">
        <v>31.0</v>
      </c>
      <c r="AN9" s="18">
        <f t="shared" si="1"/>
        <v>0</v>
      </c>
      <c r="AO9" s="19">
        <f t="shared" si="2"/>
        <v>0</v>
      </c>
      <c r="AP9" s="20" t="str">
        <f>IFERROR(__xludf.DUMMYFUNCTION("SPARKLINE(AO9, {""charttype"",""bar""; ""max"",1;""color1"",""green""; ""empty"",""zero""})"),"")</f>
        <v/>
      </c>
    </row>
    <row r="10">
      <c r="A10" s="15">
        <v>3.0</v>
      </c>
      <c r="B10" s="15" t="s">
        <v>24</v>
      </c>
      <c r="C10" s="16" t="b">
        <v>0</v>
      </c>
      <c r="D10" s="21" t="b">
        <v>0</v>
      </c>
      <c r="E10" s="16" t="b">
        <v>0</v>
      </c>
      <c r="F10" s="21" t="b">
        <v>0</v>
      </c>
      <c r="G10" s="16" t="b">
        <v>0</v>
      </c>
      <c r="H10" s="21" t="b">
        <v>0</v>
      </c>
      <c r="I10" s="16" t="b">
        <v>0</v>
      </c>
      <c r="J10" s="22" t="b">
        <v>0</v>
      </c>
      <c r="K10" s="22" t="b">
        <v>0</v>
      </c>
      <c r="L10" s="22" t="b">
        <v>0</v>
      </c>
      <c r="M10" s="22" t="b">
        <v>0</v>
      </c>
      <c r="N10" s="22" t="b">
        <v>0</v>
      </c>
      <c r="O10" s="22" t="b">
        <v>0</v>
      </c>
      <c r="P10" s="17" t="b">
        <v>0</v>
      </c>
      <c r="Q10" s="21" t="b">
        <v>0</v>
      </c>
      <c r="R10" s="21" t="b">
        <v>0</v>
      </c>
      <c r="S10" s="16" t="b">
        <v>0</v>
      </c>
      <c r="T10" s="21" t="b">
        <v>0</v>
      </c>
      <c r="U10" s="16" t="b">
        <v>0</v>
      </c>
      <c r="V10" s="16" t="b">
        <v>0</v>
      </c>
      <c r="W10" s="21" t="b">
        <v>0</v>
      </c>
      <c r="X10" s="17" t="b">
        <v>0</v>
      </c>
      <c r="Y10" s="22" t="b">
        <v>0</v>
      </c>
      <c r="Z10" s="22" t="b">
        <v>0</v>
      </c>
      <c r="AA10" s="22" t="b">
        <v>0</v>
      </c>
      <c r="AB10" s="22" t="b">
        <v>0</v>
      </c>
      <c r="AC10" s="22" t="b">
        <v>0</v>
      </c>
      <c r="AD10" s="22" t="b">
        <v>0</v>
      </c>
      <c r="AE10" s="21" t="b">
        <v>0</v>
      </c>
      <c r="AF10" s="21" t="b">
        <v>0</v>
      </c>
      <c r="AG10" s="21" t="b">
        <v>0</v>
      </c>
      <c r="AH10" s="21" t="b">
        <v>0</v>
      </c>
      <c r="AI10" s="16" t="b">
        <v>0</v>
      </c>
      <c r="AJ10" s="16" t="b">
        <v>0</v>
      </c>
      <c r="AK10" s="21" t="b">
        <v>0</v>
      </c>
      <c r="AM10" s="18">
        <v>31.0</v>
      </c>
      <c r="AN10" s="18">
        <f t="shared" si="1"/>
        <v>0</v>
      </c>
      <c r="AO10" s="19">
        <f t="shared" si="2"/>
        <v>0</v>
      </c>
      <c r="AP10" s="20" t="str">
        <f>IFERROR(__xludf.DUMMYFUNCTION("SPARKLINE(AO10, {""charttype"",""bar""; ""max"",1;""color1"",""green""; ""empty"",""zero""})"),"")</f>
        <v/>
      </c>
    </row>
    <row r="11">
      <c r="A11" s="15">
        <v>4.0</v>
      </c>
      <c r="B11" s="15" t="s">
        <v>25</v>
      </c>
      <c r="C11" s="16" t="b">
        <v>0</v>
      </c>
      <c r="D11" s="16" t="b">
        <v>0</v>
      </c>
      <c r="E11" s="16" t="b">
        <v>0</v>
      </c>
      <c r="F11" s="16" t="b">
        <v>0</v>
      </c>
      <c r="G11" s="16" t="b">
        <v>0</v>
      </c>
      <c r="H11" s="16" t="b">
        <v>0</v>
      </c>
      <c r="I11" s="16" t="b">
        <v>0</v>
      </c>
      <c r="J11" s="22" t="b">
        <v>0</v>
      </c>
      <c r="K11" s="22" t="b">
        <v>0</v>
      </c>
      <c r="L11" s="22" t="b">
        <v>0</v>
      </c>
      <c r="M11" s="22" t="b">
        <v>0</v>
      </c>
      <c r="N11" s="17" t="b">
        <v>0</v>
      </c>
      <c r="O11" s="22" t="b">
        <v>0</v>
      </c>
      <c r="P11" s="22" t="b">
        <v>0</v>
      </c>
      <c r="Q11" s="21" t="b">
        <v>0</v>
      </c>
      <c r="R11" s="16" t="b">
        <v>0</v>
      </c>
      <c r="S11" s="16" t="b">
        <v>0</v>
      </c>
      <c r="T11" s="21" t="b">
        <v>0</v>
      </c>
      <c r="U11" s="16" t="b">
        <v>0</v>
      </c>
      <c r="V11" s="16" t="b">
        <v>0</v>
      </c>
      <c r="W11" s="21" t="b">
        <v>0</v>
      </c>
      <c r="X11" s="17" t="b">
        <v>0</v>
      </c>
      <c r="Y11" s="22" t="b">
        <v>0</v>
      </c>
      <c r="Z11" s="22" t="b">
        <v>0</v>
      </c>
      <c r="AA11" s="22" t="b">
        <v>0</v>
      </c>
      <c r="AB11" s="22" t="b">
        <v>0</v>
      </c>
      <c r="AC11" s="22" t="b">
        <v>0</v>
      </c>
      <c r="AD11" s="22" t="b">
        <v>0</v>
      </c>
      <c r="AE11" s="21" t="b">
        <v>0</v>
      </c>
      <c r="AF11" s="21" t="b">
        <v>0</v>
      </c>
      <c r="AG11" s="21" t="b">
        <v>0</v>
      </c>
      <c r="AH11" s="21" t="b">
        <v>0</v>
      </c>
      <c r="AI11" s="16" t="b">
        <v>0</v>
      </c>
      <c r="AJ11" s="21" t="b">
        <v>0</v>
      </c>
      <c r="AK11" s="21" t="b">
        <v>0</v>
      </c>
      <c r="AM11" s="18">
        <v>31.0</v>
      </c>
      <c r="AN11" s="18">
        <f t="shared" si="1"/>
        <v>0</v>
      </c>
      <c r="AO11" s="19">
        <f t="shared" si="2"/>
        <v>0</v>
      </c>
      <c r="AP11" s="20" t="str">
        <f>IFERROR(__xludf.DUMMYFUNCTION("SPARKLINE(AO11, {""charttype"",""bar""; ""max"",1;""color1"",""green""; ""empty"",""zero""})"),"")</f>
        <v/>
      </c>
    </row>
    <row r="12">
      <c r="A12" s="15">
        <v>5.0</v>
      </c>
      <c r="B12" s="15" t="s">
        <v>26</v>
      </c>
      <c r="C12" s="16" t="b">
        <v>0</v>
      </c>
      <c r="D12" s="16" t="b">
        <v>0</v>
      </c>
      <c r="E12" s="21" t="b">
        <v>0</v>
      </c>
      <c r="F12" s="21" t="b">
        <v>0</v>
      </c>
      <c r="G12" s="16" t="b">
        <v>0</v>
      </c>
      <c r="H12" s="16" t="b">
        <v>0</v>
      </c>
      <c r="I12" s="16" t="b">
        <v>0</v>
      </c>
      <c r="J12" s="22" t="b">
        <v>0</v>
      </c>
      <c r="K12" s="22" t="b">
        <v>0</v>
      </c>
      <c r="L12" s="17" t="b">
        <v>0</v>
      </c>
      <c r="M12" s="17" t="b">
        <v>0</v>
      </c>
      <c r="N12" s="17" t="b">
        <v>0</v>
      </c>
      <c r="O12" s="22" t="b">
        <v>0</v>
      </c>
      <c r="P12" s="22" t="b">
        <v>0</v>
      </c>
      <c r="Q12" s="16" t="b">
        <v>0</v>
      </c>
      <c r="R12" s="16" t="b">
        <v>0</v>
      </c>
      <c r="S12" s="21" t="b">
        <v>0</v>
      </c>
      <c r="T12" s="21" t="b">
        <v>0</v>
      </c>
      <c r="U12" s="16" t="b">
        <v>0</v>
      </c>
      <c r="V12" s="16" t="b">
        <v>0</v>
      </c>
      <c r="W12" s="21" t="b">
        <v>0</v>
      </c>
      <c r="X12" s="17" t="b">
        <v>0</v>
      </c>
      <c r="Y12" s="22" t="b">
        <v>0</v>
      </c>
      <c r="Z12" s="22" t="b">
        <v>0</v>
      </c>
      <c r="AA12" s="22" t="b">
        <v>0</v>
      </c>
      <c r="AB12" s="22" t="b">
        <v>0</v>
      </c>
      <c r="AC12" s="22" t="b">
        <v>0</v>
      </c>
      <c r="AD12" s="22" t="b">
        <v>0</v>
      </c>
      <c r="AE12" s="21" t="b">
        <v>0</v>
      </c>
      <c r="AF12" s="21" t="b">
        <v>0</v>
      </c>
      <c r="AG12" s="21" t="b">
        <v>0</v>
      </c>
      <c r="AH12" s="21" t="b">
        <v>0</v>
      </c>
      <c r="AI12" s="21" t="b">
        <v>0</v>
      </c>
      <c r="AJ12" s="21" t="b">
        <v>0</v>
      </c>
      <c r="AK12" s="21" t="b">
        <v>0</v>
      </c>
      <c r="AM12" s="18">
        <v>31.0</v>
      </c>
      <c r="AN12" s="18">
        <f t="shared" si="1"/>
        <v>0</v>
      </c>
      <c r="AO12" s="19">
        <f t="shared" si="2"/>
        <v>0</v>
      </c>
      <c r="AP12" s="20" t="str">
        <f>IFERROR(__xludf.DUMMYFUNCTION("SPARKLINE(AO12, {""charttype"",""bar""; ""max"",1;""color1"",""green""; ""empty"",""zero""})"),"")</f>
        <v/>
      </c>
    </row>
    <row r="13">
      <c r="A13" s="15">
        <v>6.0</v>
      </c>
      <c r="B13" s="15" t="s">
        <v>27</v>
      </c>
      <c r="C13" s="16" t="b">
        <v>0</v>
      </c>
      <c r="D13" s="21" t="b">
        <v>0</v>
      </c>
      <c r="E13" s="21" t="b">
        <v>0</v>
      </c>
      <c r="F13" s="21" t="b">
        <v>0</v>
      </c>
      <c r="G13" s="21" t="b">
        <v>0</v>
      </c>
      <c r="H13" s="21" t="b">
        <v>0</v>
      </c>
      <c r="I13" s="16" t="b">
        <v>0</v>
      </c>
      <c r="J13" s="17" t="b">
        <v>0</v>
      </c>
      <c r="K13" s="22" t="b">
        <v>0</v>
      </c>
      <c r="L13" s="22" t="b">
        <v>0</v>
      </c>
      <c r="M13" s="22" t="b">
        <v>0</v>
      </c>
      <c r="N13" s="17" t="b">
        <v>0</v>
      </c>
      <c r="O13" s="22" t="b">
        <v>0</v>
      </c>
      <c r="P13" s="22" t="b">
        <v>0</v>
      </c>
      <c r="Q13" s="21" t="b">
        <v>0</v>
      </c>
      <c r="R13" s="16" t="b">
        <v>0</v>
      </c>
      <c r="S13" s="21" t="b">
        <v>0</v>
      </c>
      <c r="T13" s="21" t="b">
        <v>0</v>
      </c>
      <c r="U13" s="16" t="b">
        <v>0</v>
      </c>
      <c r="V13" s="16" t="b">
        <v>0</v>
      </c>
      <c r="W13" s="21" t="b">
        <v>0</v>
      </c>
      <c r="X13" s="17" t="b">
        <v>0</v>
      </c>
      <c r="Y13" s="22" t="b">
        <v>0</v>
      </c>
      <c r="Z13" s="22" t="b">
        <v>0</v>
      </c>
      <c r="AA13" s="22" t="b">
        <v>0</v>
      </c>
      <c r="AB13" s="22" t="b">
        <v>0</v>
      </c>
      <c r="AC13" s="17" t="b">
        <v>0</v>
      </c>
      <c r="AD13" s="22" t="b">
        <v>0</v>
      </c>
      <c r="AE13" s="21" t="b">
        <v>0</v>
      </c>
      <c r="AF13" s="21" t="b">
        <v>0</v>
      </c>
      <c r="AG13" s="21" t="b">
        <v>0</v>
      </c>
      <c r="AH13" s="21" t="b">
        <v>0</v>
      </c>
      <c r="AI13" s="21" t="b">
        <v>0</v>
      </c>
      <c r="AJ13" s="21" t="b">
        <v>0</v>
      </c>
      <c r="AK13" s="21" t="b">
        <v>0</v>
      </c>
      <c r="AM13" s="18">
        <v>31.0</v>
      </c>
      <c r="AN13" s="18">
        <f t="shared" si="1"/>
        <v>0</v>
      </c>
      <c r="AO13" s="19">
        <f t="shared" si="2"/>
        <v>0</v>
      </c>
      <c r="AP13" s="20" t="str">
        <f>IFERROR(__xludf.DUMMYFUNCTION("SPARKLINE(AO13, {""charttype"",""bar""; ""max"",1;""color1"",""green""; ""empty"",""zero""})"),"")</f>
        <v/>
      </c>
    </row>
    <row r="14">
      <c r="A14" s="15">
        <v>7.0</v>
      </c>
      <c r="B14" s="15" t="s">
        <v>28</v>
      </c>
      <c r="C14" s="16" t="b">
        <v>0</v>
      </c>
      <c r="D14" s="16" t="b">
        <v>0</v>
      </c>
      <c r="E14" s="21" t="b">
        <v>0</v>
      </c>
      <c r="F14" s="21" t="b">
        <v>0</v>
      </c>
      <c r="G14" s="16" t="b">
        <v>0</v>
      </c>
      <c r="H14" s="21" t="b">
        <v>0</v>
      </c>
      <c r="I14" s="21" t="b">
        <v>0</v>
      </c>
      <c r="J14" s="17" t="b">
        <v>0</v>
      </c>
      <c r="K14" s="22" t="b">
        <v>0</v>
      </c>
      <c r="L14" s="17" t="b">
        <v>0</v>
      </c>
      <c r="M14" s="17" t="b">
        <v>0</v>
      </c>
      <c r="N14" s="22" t="b">
        <v>0</v>
      </c>
      <c r="O14" s="22" t="b">
        <v>0</v>
      </c>
      <c r="P14" s="22" t="b">
        <v>0</v>
      </c>
      <c r="Q14" s="21" t="b">
        <v>0</v>
      </c>
      <c r="R14" s="16" t="b">
        <v>0</v>
      </c>
      <c r="S14" s="21" t="b">
        <v>0</v>
      </c>
      <c r="T14" s="21" t="b">
        <v>0</v>
      </c>
      <c r="U14" s="16" t="b">
        <v>0</v>
      </c>
      <c r="V14" s="16" t="b">
        <v>0</v>
      </c>
      <c r="W14" s="21" t="b">
        <v>0</v>
      </c>
      <c r="X14" s="17" t="b">
        <v>0</v>
      </c>
      <c r="Y14" s="22" t="b">
        <v>0</v>
      </c>
      <c r="Z14" s="22" t="b">
        <v>0</v>
      </c>
      <c r="AA14" s="22" t="b">
        <v>0</v>
      </c>
      <c r="AB14" s="22" t="b">
        <v>0</v>
      </c>
      <c r="AC14" s="17" t="b">
        <v>0</v>
      </c>
      <c r="AD14" s="22" t="b">
        <v>0</v>
      </c>
      <c r="AE14" s="21" t="b">
        <v>0</v>
      </c>
      <c r="AF14" s="21" t="b">
        <v>0</v>
      </c>
      <c r="AG14" s="16" t="b">
        <v>0</v>
      </c>
      <c r="AH14" s="21" t="b">
        <v>0</v>
      </c>
      <c r="AI14" s="21" t="b">
        <v>0</v>
      </c>
      <c r="AJ14" s="21" t="b">
        <v>0</v>
      </c>
      <c r="AK14" s="16" t="b">
        <v>0</v>
      </c>
      <c r="AM14" s="18">
        <v>31.0</v>
      </c>
      <c r="AN14" s="18">
        <f t="shared" si="1"/>
        <v>0</v>
      </c>
      <c r="AO14" s="19">
        <f t="shared" si="2"/>
        <v>0</v>
      </c>
      <c r="AP14" s="20" t="str">
        <f>IFERROR(__xludf.DUMMYFUNCTION("SPARKLINE(AO14, {""charttype"",""bar""; ""max"",1;""color1"",""green""; ""empty"",""zero""})"),"")</f>
        <v/>
      </c>
    </row>
    <row r="15">
      <c r="A15" s="15">
        <v>8.0</v>
      </c>
      <c r="B15" s="15" t="s">
        <v>29</v>
      </c>
      <c r="C15" s="16" t="b">
        <v>0</v>
      </c>
      <c r="D15" s="21" t="b">
        <v>0</v>
      </c>
      <c r="E15" s="21" t="b">
        <v>0</v>
      </c>
      <c r="F15" s="16" t="b">
        <v>0</v>
      </c>
      <c r="G15" s="21" t="b">
        <v>0</v>
      </c>
      <c r="H15" s="16" t="b">
        <v>0</v>
      </c>
      <c r="I15" s="21" t="b">
        <v>0</v>
      </c>
      <c r="J15" s="17" t="b">
        <v>0</v>
      </c>
      <c r="K15" s="22" t="b">
        <v>0</v>
      </c>
      <c r="L15" s="22" t="b">
        <v>0</v>
      </c>
      <c r="M15" s="17" t="b">
        <v>0</v>
      </c>
      <c r="N15" s="22" t="b">
        <v>0</v>
      </c>
      <c r="O15" s="22" t="b">
        <v>0</v>
      </c>
      <c r="P15" s="22" t="b">
        <v>0</v>
      </c>
      <c r="Q15" s="21" t="b">
        <v>0</v>
      </c>
      <c r="R15" s="16" t="b">
        <v>0</v>
      </c>
      <c r="S15" s="21" t="b">
        <v>0</v>
      </c>
      <c r="T15" s="21" t="b">
        <v>0</v>
      </c>
      <c r="U15" s="16" t="b">
        <v>0</v>
      </c>
      <c r="V15" s="16" t="b">
        <v>0</v>
      </c>
      <c r="W15" s="21" t="b">
        <v>0</v>
      </c>
      <c r="X15" s="17" t="b">
        <v>0</v>
      </c>
      <c r="Y15" s="22" t="b">
        <v>0</v>
      </c>
      <c r="Z15" s="22" t="b">
        <v>0</v>
      </c>
      <c r="AA15" s="22" t="b">
        <v>0</v>
      </c>
      <c r="AB15" s="22" t="b">
        <v>0</v>
      </c>
      <c r="AC15" s="17" t="b">
        <v>0</v>
      </c>
      <c r="AD15" s="22" t="b">
        <v>0</v>
      </c>
      <c r="AE15" s="21" t="b">
        <v>0</v>
      </c>
      <c r="AF15" s="21" t="b">
        <v>0</v>
      </c>
      <c r="AG15" s="16" t="b">
        <v>0</v>
      </c>
      <c r="AH15" s="21" t="b">
        <v>0</v>
      </c>
      <c r="AI15" s="21" t="b">
        <v>0</v>
      </c>
      <c r="AJ15" s="16" t="b">
        <v>0</v>
      </c>
      <c r="AK15" s="16" t="b">
        <v>0</v>
      </c>
      <c r="AM15" s="18">
        <v>31.0</v>
      </c>
      <c r="AN15" s="18">
        <f t="shared" si="1"/>
        <v>0</v>
      </c>
      <c r="AO15" s="19">
        <f t="shared" si="2"/>
        <v>0</v>
      </c>
      <c r="AP15" s="20" t="str">
        <f>IFERROR(__xludf.DUMMYFUNCTION("SPARKLINE(AO15, {""charttype"",""bar""; ""max"",1;""color1"",""green""; ""empty"",""zero""})"),"")</f>
        <v/>
      </c>
    </row>
    <row r="17">
      <c r="A17" s="23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>
      <c r="A18" s="15" t="s">
        <v>3</v>
      </c>
      <c r="C18" s="25">
        <f t="shared" ref="C18:AG18" si="3">IF(COUNTA(C8:C12)=0, 0, COUNTIF(C8:C12, TRUE)/COUNTA(C8:C12))</f>
        <v>0.2</v>
      </c>
      <c r="D18" s="25">
        <f t="shared" si="3"/>
        <v>0</v>
      </c>
      <c r="E18" s="25">
        <f t="shared" si="3"/>
        <v>0</v>
      </c>
      <c r="F18" s="25">
        <f t="shared" si="3"/>
        <v>0</v>
      </c>
      <c r="G18" s="25">
        <f t="shared" si="3"/>
        <v>0</v>
      </c>
      <c r="H18" s="25">
        <f t="shared" si="3"/>
        <v>0</v>
      </c>
      <c r="I18" s="25">
        <f t="shared" si="3"/>
        <v>0</v>
      </c>
      <c r="J18" s="25">
        <f t="shared" si="3"/>
        <v>0</v>
      </c>
      <c r="K18" s="25">
        <f t="shared" si="3"/>
        <v>0</v>
      </c>
      <c r="L18" s="25">
        <f t="shared" si="3"/>
        <v>0</v>
      </c>
      <c r="M18" s="25">
        <f t="shared" si="3"/>
        <v>0</v>
      </c>
      <c r="N18" s="25">
        <f t="shared" si="3"/>
        <v>0</v>
      </c>
      <c r="O18" s="25">
        <f t="shared" si="3"/>
        <v>0</v>
      </c>
      <c r="P18" s="25">
        <f t="shared" si="3"/>
        <v>0</v>
      </c>
      <c r="Q18" s="25">
        <f t="shared" si="3"/>
        <v>0</v>
      </c>
      <c r="R18" s="25">
        <f t="shared" si="3"/>
        <v>0</v>
      </c>
      <c r="S18" s="25">
        <f t="shared" si="3"/>
        <v>0</v>
      </c>
      <c r="T18" s="25">
        <f t="shared" si="3"/>
        <v>0</v>
      </c>
      <c r="U18" s="25">
        <f t="shared" si="3"/>
        <v>0</v>
      </c>
      <c r="V18" s="25">
        <f t="shared" si="3"/>
        <v>0</v>
      </c>
      <c r="W18" s="25">
        <f t="shared" si="3"/>
        <v>0</v>
      </c>
      <c r="X18" s="25">
        <f t="shared" si="3"/>
        <v>0</v>
      </c>
      <c r="Y18" s="25">
        <f t="shared" si="3"/>
        <v>0</v>
      </c>
      <c r="Z18" s="25">
        <f t="shared" si="3"/>
        <v>0</v>
      </c>
      <c r="AA18" s="25">
        <f t="shared" si="3"/>
        <v>0</v>
      </c>
      <c r="AB18" s="25">
        <f t="shared" si="3"/>
        <v>0</v>
      </c>
      <c r="AC18" s="25">
        <f t="shared" si="3"/>
        <v>0</v>
      </c>
      <c r="AD18" s="25">
        <f t="shared" si="3"/>
        <v>0</v>
      </c>
      <c r="AE18" s="25">
        <f t="shared" si="3"/>
        <v>0</v>
      </c>
      <c r="AF18" s="25">
        <f t="shared" si="3"/>
        <v>0</v>
      </c>
      <c r="AG18" s="25">
        <f t="shared" si="3"/>
        <v>0</v>
      </c>
      <c r="AH18" s="3"/>
      <c r="AI18" s="3"/>
      <c r="AJ18" s="3"/>
      <c r="AK18" s="3"/>
      <c r="AL18" s="3"/>
      <c r="AM18" s="11" t="s">
        <v>30</v>
      </c>
    </row>
    <row r="19">
      <c r="A19" s="15" t="s">
        <v>31</v>
      </c>
      <c r="C19" s="26">
        <f t="shared" ref="C19:AG19" si="4">COUNTIF(C8:C12, TRUE)</f>
        <v>1</v>
      </c>
      <c r="D19" s="26">
        <f t="shared" si="4"/>
        <v>0</v>
      </c>
      <c r="E19" s="26">
        <f t="shared" si="4"/>
        <v>0</v>
      </c>
      <c r="F19" s="26">
        <f t="shared" si="4"/>
        <v>0</v>
      </c>
      <c r="G19" s="26">
        <f t="shared" si="4"/>
        <v>0</v>
      </c>
      <c r="H19" s="26">
        <f t="shared" si="4"/>
        <v>0</v>
      </c>
      <c r="I19" s="26">
        <f t="shared" si="4"/>
        <v>0</v>
      </c>
      <c r="J19" s="26">
        <f t="shared" si="4"/>
        <v>0</v>
      </c>
      <c r="K19" s="26">
        <f t="shared" si="4"/>
        <v>0</v>
      </c>
      <c r="L19" s="26">
        <f t="shared" si="4"/>
        <v>0</v>
      </c>
      <c r="M19" s="26">
        <f t="shared" si="4"/>
        <v>0</v>
      </c>
      <c r="N19" s="26">
        <f t="shared" si="4"/>
        <v>0</v>
      </c>
      <c r="O19" s="26">
        <f t="shared" si="4"/>
        <v>0</v>
      </c>
      <c r="P19" s="26">
        <f t="shared" si="4"/>
        <v>0</v>
      </c>
      <c r="Q19" s="26">
        <f t="shared" si="4"/>
        <v>0</v>
      </c>
      <c r="R19" s="26">
        <f t="shared" si="4"/>
        <v>0</v>
      </c>
      <c r="S19" s="26">
        <f t="shared" si="4"/>
        <v>0</v>
      </c>
      <c r="T19" s="26">
        <f t="shared" si="4"/>
        <v>0</v>
      </c>
      <c r="U19" s="26">
        <f t="shared" si="4"/>
        <v>0</v>
      </c>
      <c r="V19" s="26">
        <f t="shared" si="4"/>
        <v>0</v>
      </c>
      <c r="W19" s="26">
        <f t="shared" si="4"/>
        <v>0</v>
      </c>
      <c r="X19" s="26">
        <f t="shared" si="4"/>
        <v>0</v>
      </c>
      <c r="Y19" s="26">
        <f t="shared" si="4"/>
        <v>0</v>
      </c>
      <c r="Z19" s="26">
        <f t="shared" si="4"/>
        <v>0</v>
      </c>
      <c r="AA19" s="26">
        <f t="shared" si="4"/>
        <v>0</v>
      </c>
      <c r="AB19" s="26">
        <f t="shared" si="4"/>
        <v>0</v>
      </c>
      <c r="AC19" s="26">
        <f t="shared" si="4"/>
        <v>0</v>
      </c>
      <c r="AD19" s="26">
        <f t="shared" si="4"/>
        <v>0</v>
      </c>
      <c r="AE19" s="26">
        <f t="shared" si="4"/>
        <v>0</v>
      </c>
      <c r="AF19" s="26">
        <f t="shared" si="4"/>
        <v>0</v>
      </c>
      <c r="AG19" s="26">
        <f t="shared" si="4"/>
        <v>0</v>
      </c>
      <c r="AH19" s="3"/>
      <c r="AI19" s="3"/>
      <c r="AJ19" s="3"/>
      <c r="AK19" s="3"/>
      <c r="AL19" s="3"/>
      <c r="AM19" s="27" t="s">
        <v>32</v>
      </c>
    </row>
    <row r="20">
      <c r="A20" s="15" t="s">
        <v>33</v>
      </c>
      <c r="C20" s="26">
        <f t="shared" ref="C20:AG20" si="5">COUNTIF(C8:C12, FALSE)</f>
        <v>4</v>
      </c>
      <c r="D20" s="26">
        <f t="shared" si="5"/>
        <v>5</v>
      </c>
      <c r="E20" s="26">
        <f t="shared" si="5"/>
        <v>5</v>
      </c>
      <c r="F20" s="26">
        <f t="shared" si="5"/>
        <v>5</v>
      </c>
      <c r="G20" s="26">
        <f t="shared" si="5"/>
        <v>5</v>
      </c>
      <c r="H20" s="26">
        <f t="shared" si="5"/>
        <v>5</v>
      </c>
      <c r="I20" s="26">
        <f t="shared" si="5"/>
        <v>5</v>
      </c>
      <c r="J20" s="26">
        <f t="shared" si="5"/>
        <v>5</v>
      </c>
      <c r="K20" s="26">
        <f t="shared" si="5"/>
        <v>5</v>
      </c>
      <c r="L20" s="26">
        <f t="shared" si="5"/>
        <v>5</v>
      </c>
      <c r="M20" s="26">
        <f t="shared" si="5"/>
        <v>5</v>
      </c>
      <c r="N20" s="26">
        <f t="shared" si="5"/>
        <v>5</v>
      </c>
      <c r="O20" s="26">
        <f t="shared" si="5"/>
        <v>5</v>
      </c>
      <c r="P20" s="26">
        <f t="shared" si="5"/>
        <v>5</v>
      </c>
      <c r="Q20" s="26">
        <f t="shared" si="5"/>
        <v>5</v>
      </c>
      <c r="R20" s="26">
        <f t="shared" si="5"/>
        <v>5</v>
      </c>
      <c r="S20" s="26">
        <f t="shared" si="5"/>
        <v>5</v>
      </c>
      <c r="T20" s="26">
        <f t="shared" si="5"/>
        <v>5</v>
      </c>
      <c r="U20" s="26">
        <f t="shared" si="5"/>
        <v>5</v>
      </c>
      <c r="V20" s="26">
        <f t="shared" si="5"/>
        <v>5</v>
      </c>
      <c r="W20" s="26">
        <f t="shared" si="5"/>
        <v>5</v>
      </c>
      <c r="X20" s="26">
        <f t="shared" si="5"/>
        <v>5</v>
      </c>
      <c r="Y20" s="26">
        <f t="shared" si="5"/>
        <v>5</v>
      </c>
      <c r="Z20" s="26">
        <f t="shared" si="5"/>
        <v>5</v>
      </c>
      <c r="AA20" s="26">
        <f t="shared" si="5"/>
        <v>5</v>
      </c>
      <c r="AB20" s="26">
        <f t="shared" si="5"/>
        <v>5</v>
      </c>
      <c r="AC20" s="26">
        <f t="shared" si="5"/>
        <v>5</v>
      </c>
      <c r="AD20" s="26">
        <f t="shared" si="5"/>
        <v>5</v>
      </c>
      <c r="AE20" s="26">
        <f t="shared" si="5"/>
        <v>5</v>
      </c>
      <c r="AF20" s="26">
        <f t="shared" si="5"/>
        <v>5</v>
      </c>
      <c r="AG20" s="26">
        <f t="shared" si="5"/>
        <v>5</v>
      </c>
      <c r="AH20" s="3"/>
      <c r="AI20" s="3"/>
      <c r="AJ20" s="3"/>
      <c r="AK20" s="3"/>
      <c r="AL20" s="3"/>
    </row>
    <row r="21">
      <c r="AD21" s="28"/>
      <c r="AE21" s="28"/>
      <c r="AF21" s="28"/>
      <c r="AG21" s="28"/>
      <c r="AH21" s="28"/>
      <c r="AI21" s="3"/>
      <c r="AJ21" s="3"/>
      <c r="AK21" s="3"/>
      <c r="AL21" s="3"/>
    </row>
    <row r="22">
      <c r="AD22" s="28"/>
      <c r="AE22" s="28"/>
      <c r="AF22" s="28"/>
      <c r="AG22" s="28"/>
      <c r="AH22" s="28"/>
      <c r="AI22" s="3"/>
      <c r="AJ22" s="3"/>
      <c r="AK22" s="3"/>
      <c r="AL22" s="3"/>
    </row>
    <row r="23">
      <c r="AI23" s="3"/>
      <c r="AJ23" s="3"/>
      <c r="AK23" s="3"/>
      <c r="AL23" s="3"/>
    </row>
    <row r="24">
      <c r="AI24" s="3"/>
      <c r="AJ24" s="3"/>
      <c r="AK24" s="3"/>
      <c r="AL24" s="3"/>
    </row>
    <row r="25">
      <c r="AI25" s="3"/>
      <c r="AJ25" s="3"/>
      <c r="AK25" s="3"/>
      <c r="AL25" s="3"/>
    </row>
    <row r="26">
      <c r="AD26" s="28"/>
      <c r="AE26" s="28"/>
      <c r="AF26" s="28"/>
      <c r="AG26" s="28"/>
      <c r="AH26" s="28"/>
      <c r="AI26" s="3"/>
      <c r="AJ26" s="3"/>
      <c r="AK26" s="3"/>
      <c r="AL26" s="3"/>
    </row>
    <row r="27"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</row>
    <row r="28"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</row>
    <row r="29">
      <c r="AD29" s="28"/>
      <c r="AE29" s="28"/>
      <c r="AF29" s="28"/>
      <c r="AG29" s="28"/>
      <c r="AH29" s="28"/>
      <c r="AM29" s="28"/>
      <c r="AN29" s="28"/>
      <c r="AO29" s="28"/>
      <c r="AP29" s="28"/>
    </row>
    <row r="30">
      <c r="AM30" s="28"/>
      <c r="AN30" s="28"/>
      <c r="AO30" s="28"/>
      <c r="AP30" s="28"/>
    </row>
    <row r="31">
      <c r="AM31" s="28"/>
      <c r="AN31" s="28"/>
      <c r="AO31" s="28"/>
      <c r="AP31" s="28"/>
    </row>
    <row r="32"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</row>
    <row r="33"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</row>
    <row r="34"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</row>
    <row r="35"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</row>
    <row r="36"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</row>
    <row r="37"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</row>
    <row r="38"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</row>
    <row r="39"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</row>
    <row r="40"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</row>
    <row r="41"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</row>
    <row r="42"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</row>
    <row r="43"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</row>
    <row r="44"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</row>
    <row r="45"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</row>
    <row r="46"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</row>
    <row r="47"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</row>
    <row r="48"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</row>
    <row r="49"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</row>
    <row r="50"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</row>
    <row r="51"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</row>
    <row r="52"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</row>
    <row r="53"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</row>
    <row r="54"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</row>
    <row r="55"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</row>
    <row r="56"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</row>
    <row r="57"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</row>
    <row r="58"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</row>
    <row r="59"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</row>
    <row r="60"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</row>
    <row r="61"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</row>
    <row r="62"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</row>
    <row r="63"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</row>
    <row r="64"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</row>
    <row r="65">
      <c r="J65" s="15" t="s">
        <v>27</v>
      </c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</row>
    <row r="66">
      <c r="J66" s="15" t="s">
        <v>25</v>
      </c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</row>
    <row r="67">
      <c r="J67" s="15" t="s">
        <v>34</v>
      </c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</row>
    <row r="68">
      <c r="J68" s="15" t="s">
        <v>26</v>
      </c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</row>
    <row r="69"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</row>
    <row r="70"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</row>
    <row r="71"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</row>
    <row r="72"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</row>
    <row r="73"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</row>
    <row r="74"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</row>
    <row r="75"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</row>
    <row r="76"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</row>
    <row r="77"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</row>
    <row r="78"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</row>
    <row r="79"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</row>
    <row r="80"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</row>
    <row r="81"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</row>
    <row r="82"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</row>
    <row r="83"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</row>
    <row r="84"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</row>
    <row r="85"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</row>
    <row r="86"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</row>
    <row r="87"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</row>
    <row r="88"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</row>
    <row r="89"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</row>
    <row r="90"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</row>
    <row r="91"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</row>
    <row r="92"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</row>
    <row r="93"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</row>
    <row r="94"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</row>
    <row r="95"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</row>
    <row r="96"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</row>
    <row r="97"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</row>
    <row r="98"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</row>
    <row r="99"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</row>
    <row r="100"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</row>
    <row r="101"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</row>
    <row r="102"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</row>
    <row r="103"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</row>
    <row r="104"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</row>
    <row r="105"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</row>
    <row r="106"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</row>
    <row r="107"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</row>
    <row r="108"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</row>
    <row r="109"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</row>
    <row r="110"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</row>
    <row r="111"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</row>
    <row r="112"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</row>
    <row r="113"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</row>
    <row r="114"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</row>
    <row r="115"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</row>
    <row r="116"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</row>
    <row r="117"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</row>
    <row r="118"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</row>
    <row r="119"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</row>
    <row r="120"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</row>
    <row r="121"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</row>
    <row r="122"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</row>
    <row r="123"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</row>
    <row r="124"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</row>
    <row r="125"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</row>
    <row r="126"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</row>
    <row r="127"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</row>
    <row r="128"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</row>
    <row r="129"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</row>
    <row r="130"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</row>
    <row r="131"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</row>
    <row r="132"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</row>
    <row r="133"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</row>
    <row r="134"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</row>
    <row r="135"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</row>
    <row r="136"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</row>
    <row r="137"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</row>
    <row r="138"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</row>
    <row r="139"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</row>
    <row r="140"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</row>
    <row r="141"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</row>
    <row r="142"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</row>
    <row r="143"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</row>
    <row r="144"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</row>
    <row r="145"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</row>
    <row r="146"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</row>
    <row r="147"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</row>
    <row r="148"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</row>
    <row r="149"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</row>
    <row r="150"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</row>
    <row r="151"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</row>
    <row r="152"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</row>
    <row r="153"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</row>
    <row r="154"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</row>
    <row r="155"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</row>
    <row r="156"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</row>
    <row r="157"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</row>
    <row r="158"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</row>
    <row r="159"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</row>
    <row r="160"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</row>
    <row r="161"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</row>
    <row r="162"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</row>
    <row r="163"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</row>
    <row r="164"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</row>
    <row r="165"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</row>
    <row r="166"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</row>
    <row r="167"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</row>
    <row r="168"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</row>
    <row r="169"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</row>
    <row r="170"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</row>
    <row r="171"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</row>
    <row r="172"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</row>
    <row r="173"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</row>
    <row r="174"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</row>
    <row r="175"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</row>
    <row r="176"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</row>
    <row r="177"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</row>
    <row r="178"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</row>
    <row r="179"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</row>
    <row r="180"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</row>
    <row r="181"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</row>
    <row r="182"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</row>
    <row r="183"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</row>
    <row r="184"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</row>
    <row r="185"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</row>
    <row r="186"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</row>
    <row r="187"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</row>
    <row r="188"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</row>
    <row r="189"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</row>
    <row r="190"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</row>
    <row r="191"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</row>
    <row r="192"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</row>
    <row r="193"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</row>
    <row r="194"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</row>
    <row r="195"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</row>
    <row r="196"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</row>
    <row r="197"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</row>
    <row r="198"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</row>
    <row r="199"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</row>
    <row r="200"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</row>
    <row r="201"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</row>
    <row r="202"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</row>
    <row r="203"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</row>
    <row r="204"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</row>
    <row r="205"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</row>
    <row r="206"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</row>
    <row r="207"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</row>
    <row r="208"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</row>
    <row r="209"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</row>
    <row r="210"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</row>
    <row r="211"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</row>
    <row r="212"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</row>
    <row r="213"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</row>
    <row r="214"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</row>
    <row r="215"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</row>
    <row r="216"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</row>
    <row r="217"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</row>
    <row r="218"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</row>
    <row r="219"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</row>
    <row r="220"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</row>
    <row r="221"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</row>
    <row r="222"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</row>
    <row r="223"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</row>
    <row r="224"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</row>
    <row r="225"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</row>
    <row r="226"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</row>
    <row r="227"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</row>
    <row r="228"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</row>
    <row r="229"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</row>
    <row r="230"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</row>
    <row r="231"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</row>
    <row r="232"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</row>
    <row r="233"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</row>
    <row r="234"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</row>
    <row r="235"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</row>
    <row r="236"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</row>
    <row r="237"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</row>
    <row r="238"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</row>
    <row r="239"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</row>
    <row r="240"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</row>
    <row r="241"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</row>
    <row r="242"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</row>
    <row r="243"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</row>
    <row r="244"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</row>
    <row r="245"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</row>
    <row r="246"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</row>
    <row r="247"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</row>
    <row r="248"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</row>
    <row r="249"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</row>
    <row r="250"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</row>
    <row r="251"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</row>
    <row r="252"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</row>
    <row r="253"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</row>
    <row r="254"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</row>
    <row r="255"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</row>
    <row r="256"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</row>
    <row r="257"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</row>
    <row r="258"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</row>
    <row r="259"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</row>
    <row r="260"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</row>
    <row r="261"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</row>
    <row r="262"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</row>
    <row r="263"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</row>
    <row r="264"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</row>
    <row r="265"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</row>
    <row r="266"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</row>
    <row r="267"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</row>
    <row r="268"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</row>
    <row r="269"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</row>
    <row r="270"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</row>
    <row r="271"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</row>
    <row r="272"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</row>
    <row r="273"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</row>
    <row r="274"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</row>
    <row r="275"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</row>
    <row r="276"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</row>
    <row r="277"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</row>
    <row r="278"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</row>
    <row r="279"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</row>
    <row r="280"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</row>
    <row r="281"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</row>
    <row r="282"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</row>
    <row r="283"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</row>
    <row r="284"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</row>
    <row r="285"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</row>
    <row r="286"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</row>
    <row r="287"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</row>
    <row r="288"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</row>
    <row r="289"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</row>
    <row r="290"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</row>
    <row r="291"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</row>
    <row r="292"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</row>
    <row r="293"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</row>
    <row r="294"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</row>
    <row r="295"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</row>
    <row r="296"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</row>
    <row r="297"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</row>
    <row r="298"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</row>
    <row r="299"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</row>
    <row r="300"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</row>
    <row r="301"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</row>
    <row r="302"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</row>
    <row r="303"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</row>
    <row r="304"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</row>
    <row r="305"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</row>
    <row r="306"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</row>
    <row r="307"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</row>
    <row r="308"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</row>
    <row r="309"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</row>
    <row r="310"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</row>
    <row r="311"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</row>
    <row r="312"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</row>
    <row r="313"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</row>
    <row r="314"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</row>
    <row r="315"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</row>
    <row r="316"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</row>
    <row r="317"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</row>
    <row r="318"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</row>
    <row r="319"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</row>
    <row r="320"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</row>
    <row r="321"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</row>
    <row r="322"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</row>
    <row r="323"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</row>
    <row r="324"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</row>
    <row r="325"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</row>
    <row r="326"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</row>
    <row r="327"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</row>
    <row r="328"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</row>
    <row r="329"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</row>
    <row r="330"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</row>
    <row r="331"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</row>
    <row r="332"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</row>
    <row r="333"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</row>
    <row r="334"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</row>
    <row r="335"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</row>
    <row r="336"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</row>
    <row r="337"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</row>
    <row r="338"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</row>
    <row r="339"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</row>
    <row r="340"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</row>
    <row r="341"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</row>
    <row r="342"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</row>
    <row r="343"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</row>
    <row r="344"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</row>
    <row r="345"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</row>
    <row r="346"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</row>
    <row r="347"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</row>
    <row r="348"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</row>
    <row r="349"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</row>
    <row r="350"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</row>
    <row r="351"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</row>
    <row r="352"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</row>
    <row r="353"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</row>
    <row r="354"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</row>
    <row r="355"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</row>
    <row r="356"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</row>
    <row r="357"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</row>
    <row r="358"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</row>
    <row r="359"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</row>
    <row r="360"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</row>
    <row r="361"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</row>
    <row r="362"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</row>
    <row r="363"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</row>
    <row r="364"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</row>
    <row r="365"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</row>
    <row r="366"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</row>
    <row r="367"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</row>
    <row r="368"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</row>
    <row r="369"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</row>
    <row r="370"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</row>
    <row r="371"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</row>
    <row r="372"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</row>
    <row r="373"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</row>
    <row r="374"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</row>
    <row r="375"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</row>
    <row r="376"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</row>
    <row r="377"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</row>
    <row r="378"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</row>
    <row r="379"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</row>
    <row r="380"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</row>
    <row r="381"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</row>
    <row r="382"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</row>
    <row r="383"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</row>
    <row r="384"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</row>
    <row r="385"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</row>
    <row r="386"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</row>
    <row r="387"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</row>
    <row r="388"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</row>
    <row r="389"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</row>
    <row r="390"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</row>
    <row r="391"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</row>
    <row r="392"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</row>
    <row r="393"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</row>
    <row r="394"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</row>
    <row r="395"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</row>
    <row r="396"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</row>
    <row r="397"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</row>
    <row r="398"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</row>
    <row r="399"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</row>
    <row r="400"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</row>
    <row r="401"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</row>
    <row r="402"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</row>
    <row r="403"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</row>
    <row r="404"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</row>
    <row r="405"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</row>
    <row r="406"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</row>
    <row r="407"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</row>
    <row r="408"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</row>
    <row r="409"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</row>
    <row r="410"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</row>
    <row r="411"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</row>
    <row r="412"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</row>
    <row r="413"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</row>
    <row r="414"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</row>
    <row r="415"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</row>
    <row r="416"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</row>
    <row r="417"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</row>
    <row r="418"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</row>
    <row r="419"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</row>
    <row r="420"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</row>
    <row r="421"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</row>
    <row r="422"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</row>
    <row r="423"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</row>
    <row r="424"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</row>
    <row r="425"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</row>
    <row r="426"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</row>
    <row r="427"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</row>
    <row r="428"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</row>
    <row r="429"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</row>
    <row r="430"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</row>
    <row r="431"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</row>
    <row r="432"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</row>
    <row r="433"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</row>
    <row r="434"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</row>
    <row r="435"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</row>
    <row r="436"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</row>
    <row r="437"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</row>
    <row r="438"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</row>
    <row r="439"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</row>
    <row r="440"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</row>
    <row r="441"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</row>
    <row r="442"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</row>
    <row r="443"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</row>
    <row r="444"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</row>
    <row r="445"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</row>
    <row r="446"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</row>
    <row r="447"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</row>
    <row r="448"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</row>
    <row r="449"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</row>
    <row r="450"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</row>
    <row r="451"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</row>
    <row r="452"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</row>
    <row r="453"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</row>
    <row r="454"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</row>
    <row r="455"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</row>
    <row r="456"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</row>
    <row r="457"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</row>
    <row r="458"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</row>
    <row r="459"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</row>
    <row r="460"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</row>
    <row r="461"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</row>
    <row r="462"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</row>
    <row r="463"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</row>
    <row r="464"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</row>
    <row r="465"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</row>
    <row r="466"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</row>
    <row r="467"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</row>
    <row r="468"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</row>
    <row r="469"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</row>
    <row r="470"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</row>
    <row r="471"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</row>
    <row r="472"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</row>
    <row r="473"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</row>
    <row r="474"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</row>
    <row r="475"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</row>
    <row r="476"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</row>
    <row r="477"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</row>
    <row r="478"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</row>
    <row r="479"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</row>
    <row r="480"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</row>
    <row r="481"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</row>
    <row r="482"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</row>
    <row r="483"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</row>
    <row r="484"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</row>
    <row r="485"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</row>
    <row r="486"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</row>
    <row r="487"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</row>
    <row r="488"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</row>
    <row r="489"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</row>
    <row r="490"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</row>
    <row r="491"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</row>
    <row r="492"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</row>
    <row r="493"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</row>
    <row r="494"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</row>
    <row r="495"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</row>
    <row r="496"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</row>
    <row r="497"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</row>
    <row r="498"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</row>
    <row r="499"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</row>
    <row r="500"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</row>
    <row r="501"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</row>
    <row r="502"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</row>
    <row r="503"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</row>
    <row r="504"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</row>
    <row r="505"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</row>
    <row r="506"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</row>
    <row r="507"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</row>
    <row r="508"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</row>
    <row r="509"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</row>
    <row r="510"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</row>
    <row r="511"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</row>
    <row r="512"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</row>
    <row r="513"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</row>
    <row r="514"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</row>
    <row r="515"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</row>
    <row r="516"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</row>
    <row r="517"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</row>
    <row r="518"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</row>
    <row r="519"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</row>
    <row r="520"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</row>
    <row r="521"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</row>
    <row r="522"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</row>
    <row r="523"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</row>
    <row r="524"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</row>
    <row r="525"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</row>
    <row r="526"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</row>
    <row r="527"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</row>
    <row r="528"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</row>
    <row r="529"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</row>
    <row r="530"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</row>
    <row r="531"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</row>
    <row r="532"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</row>
    <row r="533"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</row>
    <row r="534"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</row>
    <row r="535"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</row>
    <row r="536"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</row>
    <row r="537"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</row>
    <row r="538"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</row>
    <row r="539"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</row>
    <row r="540"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</row>
    <row r="541"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</row>
    <row r="542"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</row>
    <row r="543"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</row>
    <row r="544"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</row>
    <row r="545"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</row>
    <row r="546"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</row>
    <row r="547"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</row>
    <row r="548"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</row>
    <row r="549"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</row>
    <row r="550"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</row>
    <row r="551"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</row>
    <row r="552"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</row>
    <row r="553"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</row>
    <row r="554"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</row>
    <row r="555"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</row>
    <row r="556"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</row>
    <row r="557"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</row>
    <row r="558"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</row>
    <row r="559"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</row>
    <row r="560"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</row>
    <row r="561"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</row>
    <row r="562"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</row>
    <row r="563"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</row>
    <row r="564"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</row>
    <row r="565"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</row>
    <row r="566"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</row>
    <row r="567"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</row>
    <row r="568"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</row>
    <row r="569"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</row>
    <row r="570"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</row>
    <row r="571"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</row>
    <row r="572"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</row>
    <row r="573"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</row>
    <row r="574"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</row>
    <row r="575"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</row>
    <row r="576"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</row>
    <row r="577"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</row>
    <row r="578"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</row>
    <row r="579"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</row>
    <row r="580"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</row>
    <row r="581"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</row>
    <row r="582"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</row>
    <row r="583"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</row>
    <row r="584"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</row>
    <row r="585"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</row>
    <row r="586"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</row>
    <row r="587"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</row>
    <row r="588"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</row>
    <row r="589"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</row>
    <row r="590"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</row>
    <row r="591"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</row>
    <row r="592"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</row>
    <row r="593"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</row>
    <row r="594"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</row>
    <row r="595"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</row>
    <row r="596"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</row>
    <row r="597"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</row>
    <row r="598"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</row>
    <row r="599"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</row>
    <row r="600"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</row>
    <row r="601"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</row>
    <row r="602"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</row>
    <row r="603"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</row>
    <row r="604"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</row>
    <row r="605"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</row>
    <row r="606"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</row>
    <row r="607"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</row>
    <row r="608"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</row>
    <row r="609"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</row>
    <row r="610"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</row>
    <row r="611"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</row>
    <row r="612"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</row>
    <row r="613"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</row>
    <row r="614"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</row>
    <row r="615"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</row>
    <row r="616"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</row>
    <row r="617"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</row>
    <row r="618"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</row>
    <row r="619"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</row>
    <row r="620"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</row>
    <row r="621"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</row>
    <row r="622"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</row>
    <row r="623"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</row>
    <row r="624"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</row>
    <row r="625"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</row>
    <row r="626"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</row>
    <row r="627"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</row>
    <row r="628"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</row>
    <row r="629"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</row>
    <row r="630"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</row>
    <row r="631"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</row>
    <row r="632"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</row>
    <row r="633"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</row>
    <row r="634"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</row>
    <row r="635"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</row>
    <row r="636"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</row>
    <row r="637"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</row>
    <row r="638"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</row>
    <row r="639"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</row>
    <row r="640"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</row>
    <row r="641"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</row>
    <row r="642"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</row>
    <row r="643"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</row>
    <row r="644"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</row>
    <row r="645"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</row>
    <row r="646"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</row>
    <row r="647"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</row>
    <row r="648"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</row>
    <row r="649"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</row>
    <row r="650"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</row>
    <row r="651"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</row>
    <row r="652"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</row>
    <row r="653"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</row>
    <row r="654"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</row>
    <row r="655"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</row>
    <row r="656"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</row>
    <row r="657"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</row>
    <row r="658"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</row>
    <row r="659"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</row>
    <row r="660"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</row>
    <row r="661"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</row>
    <row r="662"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</row>
    <row r="663"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</row>
    <row r="664"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</row>
    <row r="665"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</row>
    <row r="666"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</row>
    <row r="667"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</row>
    <row r="668"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</row>
    <row r="669"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</row>
    <row r="670"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</row>
    <row r="671"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</row>
    <row r="672"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</row>
    <row r="673"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</row>
    <row r="674"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</row>
    <row r="675"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</row>
    <row r="676"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</row>
    <row r="677"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</row>
    <row r="678"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</row>
    <row r="679"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</row>
    <row r="680"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</row>
    <row r="681"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</row>
    <row r="682"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</row>
    <row r="683"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</row>
    <row r="684"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</row>
    <row r="685"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</row>
    <row r="686"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</row>
    <row r="687"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</row>
    <row r="688"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</row>
    <row r="689"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</row>
    <row r="690"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</row>
    <row r="691"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</row>
    <row r="692"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</row>
    <row r="693"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</row>
    <row r="694"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</row>
    <row r="695"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</row>
    <row r="696"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</row>
    <row r="697"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</row>
    <row r="698"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</row>
    <row r="699"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</row>
    <row r="700"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</row>
    <row r="701"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</row>
    <row r="702"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</row>
    <row r="703"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</row>
    <row r="704"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</row>
    <row r="705"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</row>
    <row r="706"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</row>
    <row r="707"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</row>
    <row r="708"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</row>
    <row r="709"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</row>
    <row r="710"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</row>
    <row r="711"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</row>
    <row r="712"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</row>
    <row r="713"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</row>
    <row r="714"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</row>
    <row r="715"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</row>
    <row r="716"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</row>
    <row r="717"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</row>
    <row r="718"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</row>
    <row r="719"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</row>
    <row r="720"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</row>
    <row r="721"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</row>
    <row r="722"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</row>
    <row r="723"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</row>
    <row r="724"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</row>
    <row r="725"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</row>
    <row r="726"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</row>
    <row r="727"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</row>
    <row r="728"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</row>
    <row r="729"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</row>
    <row r="730"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</row>
    <row r="731"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</row>
    <row r="732"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</row>
    <row r="733"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</row>
    <row r="734"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</row>
    <row r="735"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</row>
    <row r="736"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</row>
    <row r="737"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</row>
    <row r="738"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</row>
    <row r="739"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</row>
    <row r="740"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</row>
    <row r="741"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</row>
    <row r="742"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</row>
    <row r="743"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</row>
    <row r="744"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</row>
    <row r="745"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</row>
    <row r="746"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</row>
    <row r="747"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</row>
    <row r="748"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</row>
    <row r="749"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</row>
    <row r="750"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</row>
    <row r="751"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</row>
    <row r="752"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</row>
    <row r="753"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</row>
    <row r="754"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</row>
    <row r="755"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</row>
    <row r="756"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</row>
    <row r="757"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</row>
    <row r="758"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</row>
    <row r="759"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</row>
    <row r="760"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</row>
    <row r="761"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</row>
    <row r="762"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</row>
    <row r="763"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</row>
    <row r="764"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</row>
    <row r="765"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</row>
    <row r="766"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</row>
    <row r="767"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</row>
    <row r="768"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</row>
    <row r="769"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</row>
    <row r="770"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</row>
    <row r="771"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</row>
    <row r="772"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</row>
    <row r="773"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</row>
    <row r="774"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</row>
    <row r="775"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</row>
    <row r="776"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</row>
    <row r="777"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</row>
    <row r="778"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</row>
    <row r="779"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</row>
    <row r="780"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</row>
    <row r="781"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</row>
    <row r="782"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</row>
    <row r="783"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</row>
    <row r="784"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</row>
    <row r="785"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</row>
    <row r="786"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</row>
    <row r="787"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</row>
    <row r="788"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</row>
    <row r="789"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</row>
    <row r="790"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</row>
    <row r="791"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</row>
    <row r="792"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</row>
    <row r="793"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</row>
    <row r="794"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</row>
    <row r="795"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</row>
    <row r="796"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</row>
    <row r="797"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</row>
    <row r="798"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</row>
    <row r="799"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</row>
    <row r="800"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</row>
    <row r="801"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</row>
    <row r="802"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</row>
    <row r="803"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</row>
    <row r="804"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</row>
    <row r="805"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</row>
    <row r="806"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</row>
    <row r="807"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</row>
    <row r="808"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</row>
    <row r="809"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</row>
    <row r="810"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</row>
    <row r="811"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</row>
    <row r="812"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</row>
    <row r="813"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</row>
    <row r="814"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</row>
    <row r="815"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</row>
    <row r="816"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</row>
    <row r="817"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</row>
    <row r="818"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</row>
    <row r="819"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</row>
    <row r="820"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</row>
    <row r="821"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</row>
    <row r="822"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</row>
    <row r="823"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</row>
    <row r="824"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</row>
    <row r="825"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</row>
    <row r="826"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</row>
    <row r="827"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</row>
    <row r="828"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</row>
    <row r="829"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</row>
    <row r="830"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</row>
    <row r="831"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</row>
    <row r="832"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</row>
    <row r="833"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</row>
    <row r="834"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</row>
    <row r="835"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</row>
    <row r="836"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</row>
    <row r="837"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</row>
    <row r="838"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</row>
    <row r="839"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</row>
    <row r="840"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</row>
    <row r="841"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</row>
    <row r="842"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</row>
    <row r="843"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</row>
    <row r="844"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</row>
    <row r="845"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</row>
    <row r="846"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</row>
    <row r="847"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</row>
    <row r="848"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</row>
    <row r="849"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</row>
    <row r="850"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</row>
    <row r="851"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</row>
    <row r="852"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</row>
    <row r="853"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</row>
    <row r="854"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</row>
    <row r="855"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</row>
    <row r="856"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</row>
    <row r="857"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</row>
    <row r="858"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</row>
    <row r="859"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</row>
    <row r="860"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</row>
    <row r="861"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</row>
    <row r="862"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</row>
    <row r="863"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</row>
    <row r="864"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</row>
    <row r="865"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</row>
    <row r="866"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</row>
    <row r="867"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</row>
    <row r="868"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</row>
    <row r="869"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</row>
    <row r="870"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</row>
    <row r="871"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</row>
    <row r="872"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</row>
    <row r="873"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</row>
    <row r="874"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</row>
    <row r="875"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</row>
    <row r="876"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</row>
    <row r="877"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</row>
    <row r="878"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</row>
    <row r="879"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</row>
    <row r="880"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</row>
    <row r="881"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</row>
    <row r="882"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</row>
    <row r="883"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</row>
    <row r="884"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</row>
    <row r="885"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</row>
    <row r="886"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</row>
    <row r="887"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</row>
    <row r="888"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</row>
    <row r="889"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</row>
    <row r="890"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</row>
    <row r="891"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</row>
    <row r="892"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</row>
    <row r="893"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</row>
    <row r="894"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</row>
    <row r="895"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</row>
    <row r="896"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</row>
    <row r="897"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</row>
    <row r="898"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</row>
    <row r="899"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</row>
    <row r="900"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</row>
    <row r="901"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</row>
    <row r="902"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</row>
    <row r="903"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</row>
    <row r="904"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</row>
    <row r="905"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</row>
    <row r="906"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</row>
    <row r="907"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</row>
    <row r="908"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</row>
    <row r="909"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</row>
    <row r="910"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</row>
    <row r="911"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</row>
    <row r="912"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</row>
    <row r="913"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</row>
    <row r="914"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</row>
    <row r="915"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</row>
    <row r="916"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</row>
    <row r="917"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</row>
    <row r="918"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</row>
    <row r="919"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</row>
    <row r="920"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</row>
    <row r="921"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</row>
    <row r="922"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</row>
    <row r="923"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</row>
    <row r="924"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</row>
    <row r="925"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</row>
    <row r="926"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</row>
    <row r="927"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</row>
    <row r="928"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</row>
    <row r="929"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</row>
    <row r="930"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</row>
    <row r="931"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</row>
    <row r="932"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</row>
    <row r="933"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</row>
    <row r="934"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</row>
    <row r="935"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</row>
    <row r="936"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</row>
    <row r="937"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</row>
    <row r="938"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</row>
    <row r="939"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</row>
    <row r="940"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</row>
    <row r="941"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</row>
    <row r="942"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</row>
    <row r="943"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</row>
    <row r="944"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</row>
    <row r="945"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</row>
    <row r="946"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</row>
    <row r="947"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</row>
    <row r="948"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</row>
    <row r="949"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</row>
    <row r="950"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</row>
    <row r="951"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</row>
    <row r="952"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</row>
    <row r="953"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</row>
    <row r="954"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</row>
    <row r="955"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</row>
    <row r="956"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</row>
    <row r="957"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</row>
    <row r="958"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</row>
    <row r="959"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</row>
    <row r="960"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</row>
    <row r="961"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</row>
    <row r="962"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</row>
    <row r="963"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</row>
    <row r="964"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</row>
    <row r="965"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</row>
    <row r="966"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</row>
    <row r="967"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</row>
    <row r="968"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</row>
    <row r="969"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</row>
    <row r="970"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</row>
    <row r="971"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</row>
    <row r="972"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</row>
    <row r="973"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</row>
    <row r="974"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</row>
    <row r="975"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</row>
    <row r="976"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</row>
    <row r="977"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</row>
    <row r="978"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</row>
    <row r="979"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</row>
    <row r="980"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</row>
    <row r="981"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</row>
    <row r="982"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</row>
    <row r="983"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</row>
    <row r="984"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</row>
    <row r="985"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</row>
    <row r="986"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</row>
    <row r="987"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</row>
    <row r="988"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</row>
    <row r="989"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</row>
    <row r="990"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</row>
    <row r="991"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</row>
    <row r="992"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</row>
    <row r="993"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</row>
    <row r="994"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</row>
    <row r="995"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</row>
    <row r="996"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</row>
    <row r="997"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</row>
    <row r="998"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</row>
    <row r="999"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</row>
    <row r="1000"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</row>
    <row r="1001">
      <c r="AD1001" s="28"/>
      <c r="AE1001" s="28"/>
      <c r="AF1001" s="28"/>
      <c r="AG1001" s="28"/>
      <c r="AH1001" s="28"/>
      <c r="AI1001" s="28"/>
      <c r="AJ1001" s="28"/>
      <c r="AK1001" s="28"/>
      <c r="AL1001" s="28"/>
      <c r="AM1001" s="28"/>
      <c r="AN1001" s="28"/>
      <c r="AO1001" s="28"/>
      <c r="AP1001" s="28"/>
    </row>
    <row r="1002">
      <c r="AD1002" s="28"/>
      <c r="AE1002" s="28"/>
      <c r="AF1002" s="28"/>
      <c r="AG1002" s="28"/>
      <c r="AH1002" s="28"/>
      <c r="AI1002" s="28"/>
      <c r="AJ1002" s="28"/>
      <c r="AK1002" s="28"/>
      <c r="AL1002" s="28"/>
      <c r="AM1002" s="28"/>
      <c r="AN1002" s="28"/>
      <c r="AO1002" s="28"/>
      <c r="AP1002" s="28"/>
    </row>
  </sheetData>
  <mergeCells count="23">
    <mergeCell ref="J5:P5"/>
    <mergeCell ref="C5:I5"/>
    <mergeCell ref="AE5:AK5"/>
    <mergeCell ref="AM5:AP6"/>
    <mergeCell ref="AM19:AP26"/>
    <mergeCell ref="W2:AC2"/>
    <mergeCell ref="AD2:AG2"/>
    <mergeCell ref="I3:AG3"/>
    <mergeCell ref="A1:H3"/>
    <mergeCell ref="I1:N1"/>
    <mergeCell ref="O1:V1"/>
    <mergeCell ref="W1:AC1"/>
    <mergeCell ref="AD1:AG1"/>
    <mergeCell ref="O2:V2"/>
    <mergeCell ref="Q5:W5"/>
    <mergeCell ref="X5:AD5"/>
    <mergeCell ref="I2:N2"/>
    <mergeCell ref="AM18:AP18"/>
    <mergeCell ref="A18:B18"/>
    <mergeCell ref="A19:B19"/>
    <mergeCell ref="A20:B20"/>
    <mergeCell ref="A5:B7"/>
    <mergeCell ref="A4:AG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26.25"/>
    <col customWidth="1" min="3" max="22" width="4.13"/>
    <col customWidth="1" min="23" max="23" width="4.5"/>
    <col customWidth="1" min="24" max="35" width="4.13"/>
    <col customWidth="1" min="36" max="36" width="5.38"/>
    <col customWidth="1" min="37" max="37" width="3.75"/>
    <col customWidth="1" min="38" max="38" width="5.25"/>
    <col customWidth="1" min="39" max="39" width="4.5"/>
    <col customWidth="1" min="40" max="40" width="4.75"/>
    <col customWidth="1" min="41" max="41" width="6.88"/>
    <col customWidth="1" min="42" max="42" width="13.25"/>
  </cols>
  <sheetData>
    <row r="1" ht="36.75" customHeight="1">
      <c r="A1" s="1" t="s">
        <v>0</v>
      </c>
      <c r="I1" s="2" t="s">
        <v>1</v>
      </c>
      <c r="O1" s="2" t="s">
        <v>2</v>
      </c>
      <c r="W1" s="2" t="s">
        <v>3</v>
      </c>
      <c r="AD1" s="2" t="s">
        <v>4</v>
      </c>
      <c r="AH1" s="3"/>
      <c r="AI1" s="3"/>
      <c r="AJ1" s="3"/>
      <c r="AK1" s="3"/>
      <c r="AL1" s="3"/>
    </row>
    <row r="2">
      <c r="I2" s="2">
        <v>8.0</v>
      </c>
      <c r="O2" s="4">
        <f>COUNTIF(C8:AG12, TRUE)</f>
        <v>1</v>
      </c>
      <c r="W2" s="5" t="str">
        <f>IFERROR(__xludf.DUMMYFUNCTION("SPARKLINE(AD2, {""charttype"",""bar""; ""max"",1;""color1"",""green""; ""empty"",""zero""})"),"")</f>
        <v/>
      </c>
      <c r="X2" s="6"/>
      <c r="Y2" s="6"/>
      <c r="Z2" s="6"/>
      <c r="AA2" s="6"/>
      <c r="AB2" s="6"/>
      <c r="AC2" s="7"/>
      <c r="AD2" s="8">
        <f>SUM(O2) / (COUNTA(C8:AG8) * ROWS(C8:AG15))</f>
        <v>0.004032258065</v>
      </c>
      <c r="AH2" s="3"/>
      <c r="AI2" s="3"/>
      <c r="AJ2" s="3"/>
      <c r="AK2" s="3"/>
      <c r="AL2" s="3"/>
    </row>
    <row r="3">
      <c r="I3" s="9"/>
      <c r="AH3" s="3"/>
      <c r="AI3" s="3"/>
      <c r="AJ3" s="3"/>
      <c r="AK3" s="3"/>
      <c r="AL3" s="3"/>
    </row>
    <row r="4">
      <c r="A4" s="10"/>
      <c r="AH4" s="3"/>
      <c r="AI4" s="3"/>
      <c r="AJ4" s="3"/>
      <c r="AK4" s="3"/>
      <c r="AL4" s="3"/>
      <c r="AM4" s="3"/>
      <c r="AN4" s="3"/>
      <c r="AO4" s="3"/>
      <c r="AP4" s="3"/>
    </row>
    <row r="5">
      <c r="A5" s="11" t="s">
        <v>5</v>
      </c>
      <c r="C5" s="12" t="s">
        <v>6</v>
      </c>
      <c r="J5" s="11" t="s">
        <v>7</v>
      </c>
      <c r="Q5" s="12" t="s">
        <v>8</v>
      </c>
      <c r="X5" s="11" t="s">
        <v>9</v>
      </c>
      <c r="AE5" s="12" t="s">
        <v>10</v>
      </c>
      <c r="AM5" s="13" t="s">
        <v>11</v>
      </c>
    </row>
    <row r="6"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2" t="s">
        <v>17</v>
      </c>
      <c r="I6" s="12" t="s">
        <v>18</v>
      </c>
      <c r="J6" s="11" t="s">
        <v>12</v>
      </c>
      <c r="K6" s="11" t="s">
        <v>13</v>
      </c>
      <c r="L6" s="11" t="s">
        <v>14</v>
      </c>
      <c r="M6" s="11" t="s">
        <v>15</v>
      </c>
      <c r="N6" s="11" t="s">
        <v>16</v>
      </c>
      <c r="O6" s="11" t="s">
        <v>17</v>
      </c>
      <c r="P6" s="11" t="s">
        <v>18</v>
      </c>
      <c r="Q6" s="12" t="s">
        <v>12</v>
      </c>
      <c r="R6" s="12" t="s">
        <v>13</v>
      </c>
      <c r="S6" s="12" t="s">
        <v>14</v>
      </c>
      <c r="T6" s="12" t="s">
        <v>15</v>
      </c>
      <c r="U6" s="12" t="s">
        <v>16</v>
      </c>
      <c r="V6" s="12" t="s">
        <v>17</v>
      </c>
      <c r="W6" s="12" t="s">
        <v>18</v>
      </c>
      <c r="X6" s="11" t="s">
        <v>12</v>
      </c>
      <c r="Y6" s="11" t="s">
        <v>13</v>
      </c>
      <c r="Z6" s="11" t="s">
        <v>14</v>
      </c>
      <c r="AA6" s="11" t="s">
        <v>15</v>
      </c>
      <c r="AB6" s="11" t="s">
        <v>16</v>
      </c>
      <c r="AC6" s="11" t="s">
        <v>17</v>
      </c>
      <c r="AD6" s="11" t="s">
        <v>18</v>
      </c>
      <c r="AE6" s="12" t="s">
        <v>12</v>
      </c>
      <c r="AF6" s="12" t="s">
        <v>13</v>
      </c>
      <c r="AG6" s="12" t="s">
        <v>14</v>
      </c>
      <c r="AH6" s="12" t="s">
        <v>15</v>
      </c>
      <c r="AI6" s="12" t="s">
        <v>16</v>
      </c>
      <c r="AJ6" s="12" t="s">
        <v>17</v>
      </c>
      <c r="AK6" s="12" t="s">
        <v>18</v>
      </c>
      <c r="AL6" s="3"/>
    </row>
    <row r="7">
      <c r="C7" s="12">
        <v>30.0</v>
      </c>
      <c r="D7" s="12">
        <v>31.0</v>
      </c>
      <c r="E7" s="12">
        <v>1.0</v>
      </c>
      <c r="F7" s="12">
        <v>2.0</v>
      </c>
      <c r="G7" s="12">
        <v>3.0</v>
      </c>
      <c r="H7" s="12">
        <v>4.0</v>
      </c>
      <c r="I7" s="12">
        <v>5.0</v>
      </c>
      <c r="J7" s="11">
        <v>6.0</v>
      </c>
      <c r="K7" s="11">
        <v>7.0</v>
      </c>
      <c r="L7" s="11">
        <v>8.0</v>
      </c>
      <c r="M7" s="11">
        <v>9.0</v>
      </c>
      <c r="N7" s="11">
        <v>10.0</v>
      </c>
      <c r="O7" s="11">
        <v>11.0</v>
      </c>
      <c r="P7" s="11">
        <v>12.0</v>
      </c>
      <c r="Q7" s="12">
        <v>13.0</v>
      </c>
      <c r="R7" s="12">
        <v>14.0</v>
      </c>
      <c r="S7" s="12">
        <v>15.0</v>
      </c>
      <c r="T7" s="12">
        <v>16.0</v>
      </c>
      <c r="U7" s="12">
        <v>17.0</v>
      </c>
      <c r="V7" s="12">
        <v>18.0</v>
      </c>
      <c r="W7" s="12">
        <v>19.0</v>
      </c>
      <c r="X7" s="11">
        <v>20.0</v>
      </c>
      <c r="Y7" s="11">
        <v>21.0</v>
      </c>
      <c r="Z7" s="11">
        <v>22.0</v>
      </c>
      <c r="AA7" s="11">
        <v>23.0</v>
      </c>
      <c r="AB7" s="11">
        <v>24.0</v>
      </c>
      <c r="AC7" s="11">
        <v>25.0</v>
      </c>
      <c r="AD7" s="11">
        <v>26.0</v>
      </c>
      <c r="AE7" s="12">
        <v>27.0</v>
      </c>
      <c r="AF7" s="12">
        <v>28.0</v>
      </c>
      <c r="AG7" s="12">
        <v>29.0</v>
      </c>
      <c r="AH7" s="12">
        <v>30.0</v>
      </c>
      <c r="AI7" s="12">
        <v>1.0</v>
      </c>
      <c r="AJ7" s="12">
        <v>2.0</v>
      </c>
      <c r="AK7" s="12">
        <v>3.0</v>
      </c>
      <c r="AL7" s="3"/>
      <c r="AM7" s="14" t="s">
        <v>19</v>
      </c>
      <c r="AN7" s="14" t="s">
        <v>20</v>
      </c>
      <c r="AO7" s="14" t="s">
        <v>21</v>
      </c>
      <c r="AP7" s="14" t="s">
        <v>3</v>
      </c>
    </row>
    <row r="8">
      <c r="A8" s="15">
        <v>1.0</v>
      </c>
      <c r="B8" s="15" t="s">
        <v>22</v>
      </c>
      <c r="C8" s="16" t="b">
        <v>1</v>
      </c>
      <c r="D8" s="16" t="b">
        <v>0</v>
      </c>
      <c r="E8" s="16" t="b">
        <v>0</v>
      </c>
      <c r="F8" s="16" t="b">
        <v>0</v>
      </c>
      <c r="G8" s="16" t="b">
        <v>0</v>
      </c>
      <c r="H8" s="16" t="b">
        <v>0</v>
      </c>
      <c r="I8" s="16" t="b">
        <v>0</v>
      </c>
      <c r="J8" s="17" t="b">
        <v>0</v>
      </c>
      <c r="K8" s="17" t="b">
        <v>0</v>
      </c>
      <c r="L8" s="17" t="b">
        <v>0</v>
      </c>
      <c r="M8" s="17" t="b">
        <v>0</v>
      </c>
      <c r="N8" s="17" t="b">
        <v>0</v>
      </c>
      <c r="O8" s="17" t="b">
        <v>0</v>
      </c>
      <c r="P8" s="17" t="b">
        <v>0</v>
      </c>
      <c r="Q8" s="16" t="b">
        <v>0</v>
      </c>
      <c r="R8" s="16" t="b">
        <v>0</v>
      </c>
      <c r="S8" s="16" t="b">
        <v>0</v>
      </c>
      <c r="T8" s="16" t="b">
        <v>0</v>
      </c>
      <c r="U8" s="16" t="b">
        <v>0</v>
      </c>
      <c r="V8" s="16" t="b">
        <v>0</v>
      </c>
      <c r="W8" s="16" t="b">
        <v>0</v>
      </c>
      <c r="X8" s="17" t="b">
        <v>0</v>
      </c>
      <c r="Y8" s="17" t="b">
        <v>0</v>
      </c>
      <c r="Z8" s="17" t="b">
        <v>0</v>
      </c>
      <c r="AA8" s="17" t="b">
        <v>0</v>
      </c>
      <c r="AB8" s="17" t="b">
        <v>0</v>
      </c>
      <c r="AC8" s="17" t="b">
        <v>0</v>
      </c>
      <c r="AD8" s="17" t="b">
        <v>0</v>
      </c>
      <c r="AE8" s="16" t="b">
        <v>0</v>
      </c>
      <c r="AF8" s="16" t="b">
        <v>0</v>
      </c>
      <c r="AG8" s="16" t="b">
        <v>0</v>
      </c>
      <c r="AH8" s="16" t="b">
        <v>0</v>
      </c>
      <c r="AI8" s="16" t="b">
        <v>0</v>
      </c>
      <c r="AJ8" s="16" t="b">
        <v>0</v>
      </c>
      <c r="AK8" s="16" t="b">
        <v>0</v>
      </c>
      <c r="AL8" s="3"/>
      <c r="AM8" s="18">
        <v>31.0</v>
      </c>
      <c r="AN8" s="18">
        <f t="shared" ref="AN8:AN15" si="1">COUNTIF(C8:AK8, TRUE)</f>
        <v>1</v>
      </c>
      <c r="AO8" s="19">
        <f t="shared" ref="AO8:AO15" si="2">SUM(AN8 / (COUNTA(C8:AK8) * ROWS(C8:AK8)))</f>
        <v>0.02857142857</v>
      </c>
      <c r="AP8" s="20" t="str">
        <f>IFERROR(__xludf.DUMMYFUNCTION("SPARKLINE(AO8, {""charttype"",""bar""; ""max"",1;""color1"",""green""; ""empty"",""zero""})"),"")</f>
        <v/>
      </c>
    </row>
    <row r="9">
      <c r="A9" s="15">
        <v>2.0</v>
      </c>
      <c r="B9" s="15" t="s">
        <v>23</v>
      </c>
      <c r="C9" s="16" t="b">
        <v>0</v>
      </c>
      <c r="D9" s="21" t="b">
        <v>0</v>
      </c>
      <c r="E9" s="16" t="b">
        <v>0</v>
      </c>
      <c r="F9" s="21" t="b">
        <v>0</v>
      </c>
      <c r="G9" s="16" t="b">
        <v>0</v>
      </c>
      <c r="H9" s="21" t="b">
        <v>0</v>
      </c>
      <c r="I9" s="21" t="b">
        <v>0</v>
      </c>
      <c r="J9" s="22" t="b">
        <v>0</v>
      </c>
      <c r="K9" s="22" t="b">
        <v>0</v>
      </c>
      <c r="L9" s="22" t="b">
        <v>0</v>
      </c>
      <c r="M9" s="22" t="b">
        <v>0</v>
      </c>
      <c r="N9" s="22" t="b">
        <v>0</v>
      </c>
      <c r="O9" s="17" t="b">
        <v>0</v>
      </c>
      <c r="P9" s="17" t="b">
        <v>0</v>
      </c>
      <c r="Q9" s="21" t="b">
        <v>0</v>
      </c>
      <c r="R9" s="16" t="b">
        <v>0</v>
      </c>
      <c r="S9" s="16" t="b">
        <v>0</v>
      </c>
      <c r="T9" s="21" t="b">
        <v>0</v>
      </c>
      <c r="U9" s="16" t="b">
        <v>0</v>
      </c>
      <c r="V9" s="16" t="b">
        <v>0</v>
      </c>
      <c r="W9" s="21" t="b">
        <v>0</v>
      </c>
      <c r="X9" s="17" t="b">
        <v>0</v>
      </c>
      <c r="Y9" s="22" t="b">
        <v>0</v>
      </c>
      <c r="Z9" s="22" t="b">
        <v>0</v>
      </c>
      <c r="AA9" s="22" t="b">
        <v>0</v>
      </c>
      <c r="AB9" s="22" t="b">
        <v>0</v>
      </c>
      <c r="AC9" s="22" t="b">
        <v>0</v>
      </c>
      <c r="AD9" s="22" t="b">
        <v>0</v>
      </c>
      <c r="AE9" s="21" t="b">
        <v>0</v>
      </c>
      <c r="AF9" s="21" t="b">
        <v>0</v>
      </c>
      <c r="AG9" s="21" t="b">
        <v>0</v>
      </c>
      <c r="AH9" s="21" t="b">
        <v>0</v>
      </c>
      <c r="AI9" s="21" t="b">
        <v>0</v>
      </c>
      <c r="AJ9" s="16" t="b">
        <v>0</v>
      </c>
      <c r="AK9" s="21" t="b">
        <v>0</v>
      </c>
      <c r="AL9" s="3"/>
      <c r="AM9" s="18">
        <v>31.0</v>
      </c>
      <c r="AN9" s="18">
        <f t="shared" si="1"/>
        <v>0</v>
      </c>
      <c r="AO9" s="19">
        <f t="shared" si="2"/>
        <v>0</v>
      </c>
      <c r="AP9" s="20" t="str">
        <f>IFERROR(__xludf.DUMMYFUNCTION("SPARKLINE(AO9, {""charttype"",""bar""; ""max"",1;""color1"",""green""; ""empty"",""zero""})"),"")</f>
        <v/>
      </c>
    </row>
    <row r="10">
      <c r="A10" s="15">
        <v>3.0</v>
      </c>
      <c r="B10" s="15" t="s">
        <v>24</v>
      </c>
      <c r="C10" s="16" t="b">
        <v>0</v>
      </c>
      <c r="D10" s="21" t="b">
        <v>0</v>
      </c>
      <c r="E10" s="16" t="b">
        <v>0</v>
      </c>
      <c r="F10" s="21" t="b">
        <v>0</v>
      </c>
      <c r="G10" s="16" t="b">
        <v>0</v>
      </c>
      <c r="H10" s="21" t="b">
        <v>0</v>
      </c>
      <c r="I10" s="16" t="b">
        <v>0</v>
      </c>
      <c r="J10" s="22" t="b">
        <v>0</v>
      </c>
      <c r="K10" s="22" t="b">
        <v>0</v>
      </c>
      <c r="L10" s="22" t="b">
        <v>0</v>
      </c>
      <c r="M10" s="22" t="b">
        <v>0</v>
      </c>
      <c r="N10" s="22" t="b">
        <v>0</v>
      </c>
      <c r="O10" s="22" t="b">
        <v>0</v>
      </c>
      <c r="P10" s="17" t="b">
        <v>0</v>
      </c>
      <c r="Q10" s="21" t="b">
        <v>0</v>
      </c>
      <c r="R10" s="21" t="b">
        <v>0</v>
      </c>
      <c r="S10" s="16" t="b">
        <v>0</v>
      </c>
      <c r="T10" s="21" t="b">
        <v>0</v>
      </c>
      <c r="U10" s="16" t="b">
        <v>0</v>
      </c>
      <c r="V10" s="16" t="b">
        <v>0</v>
      </c>
      <c r="W10" s="21" t="b">
        <v>0</v>
      </c>
      <c r="X10" s="17" t="b">
        <v>0</v>
      </c>
      <c r="Y10" s="22" t="b">
        <v>0</v>
      </c>
      <c r="Z10" s="22" t="b">
        <v>0</v>
      </c>
      <c r="AA10" s="22" t="b">
        <v>0</v>
      </c>
      <c r="AB10" s="22" t="b">
        <v>0</v>
      </c>
      <c r="AC10" s="22" t="b">
        <v>0</v>
      </c>
      <c r="AD10" s="22" t="b">
        <v>0</v>
      </c>
      <c r="AE10" s="21" t="b">
        <v>0</v>
      </c>
      <c r="AF10" s="21" t="b">
        <v>0</v>
      </c>
      <c r="AG10" s="21" t="b">
        <v>0</v>
      </c>
      <c r="AH10" s="21" t="b">
        <v>0</v>
      </c>
      <c r="AI10" s="16" t="b">
        <v>0</v>
      </c>
      <c r="AJ10" s="16" t="b">
        <v>0</v>
      </c>
      <c r="AK10" s="21" t="b">
        <v>0</v>
      </c>
      <c r="AM10" s="18">
        <v>31.0</v>
      </c>
      <c r="AN10" s="18">
        <f t="shared" si="1"/>
        <v>0</v>
      </c>
      <c r="AO10" s="19">
        <f t="shared" si="2"/>
        <v>0</v>
      </c>
      <c r="AP10" s="20" t="str">
        <f>IFERROR(__xludf.DUMMYFUNCTION("SPARKLINE(AO10, {""charttype"",""bar""; ""max"",1;""color1"",""green""; ""empty"",""zero""})"),"")</f>
        <v/>
      </c>
    </row>
    <row r="11">
      <c r="A11" s="15">
        <v>4.0</v>
      </c>
      <c r="B11" s="15" t="s">
        <v>25</v>
      </c>
      <c r="C11" s="16" t="b">
        <v>0</v>
      </c>
      <c r="D11" s="16" t="b">
        <v>0</v>
      </c>
      <c r="E11" s="16" t="b">
        <v>0</v>
      </c>
      <c r="F11" s="16" t="b">
        <v>0</v>
      </c>
      <c r="G11" s="16" t="b">
        <v>0</v>
      </c>
      <c r="H11" s="16" t="b">
        <v>0</v>
      </c>
      <c r="I11" s="16" t="b">
        <v>0</v>
      </c>
      <c r="J11" s="22" t="b">
        <v>0</v>
      </c>
      <c r="K11" s="22" t="b">
        <v>0</v>
      </c>
      <c r="L11" s="22" t="b">
        <v>0</v>
      </c>
      <c r="M11" s="22" t="b">
        <v>0</v>
      </c>
      <c r="N11" s="17" t="b">
        <v>0</v>
      </c>
      <c r="O11" s="22" t="b">
        <v>0</v>
      </c>
      <c r="P11" s="22" t="b">
        <v>0</v>
      </c>
      <c r="Q11" s="21" t="b">
        <v>0</v>
      </c>
      <c r="R11" s="16" t="b">
        <v>0</v>
      </c>
      <c r="S11" s="16" t="b">
        <v>0</v>
      </c>
      <c r="T11" s="21" t="b">
        <v>0</v>
      </c>
      <c r="U11" s="16" t="b">
        <v>0</v>
      </c>
      <c r="V11" s="16" t="b">
        <v>0</v>
      </c>
      <c r="W11" s="21" t="b">
        <v>0</v>
      </c>
      <c r="X11" s="17" t="b">
        <v>0</v>
      </c>
      <c r="Y11" s="22" t="b">
        <v>0</v>
      </c>
      <c r="Z11" s="22" t="b">
        <v>0</v>
      </c>
      <c r="AA11" s="22" t="b">
        <v>0</v>
      </c>
      <c r="AB11" s="22" t="b">
        <v>0</v>
      </c>
      <c r="AC11" s="22" t="b">
        <v>0</v>
      </c>
      <c r="AD11" s="22" t="b">
        <v>0</v>
      </c>
      <c r="AE11" s="21" t="b">
        <v>0</v>
      </c>
      <c r="AF11" s="21" t="b">
        <v>0</v>
      </c>
      <c r="AG11" s="21" t="b">
        <v>0</v>
      </c>
      <c r="AH11" s="21" t="b">
        <v>0</v>
      </c>
      <c r="AI11" s="16" t="b">
        <v>0</v>
      </c>
      <c r="AJ11" s="21" t="b">
        <v>0</v>
      </c>
      <c r="AK11" s="21" t="b">
        <v>0</v>
      </c>
      <c r="AM11" s="18">
        <v>31.0</v>
      </c>
      <c r="AN11" s="18">
        <f t="shared" si="1"/>
        <v>0</v>
      </c>
      <c r="AO11" s="19">
        <f t="shared" si="2"/>
        <v>0</v>
      </c>
      <c r="AP11" s="20" t="str">
        <f>IFERROR(__xludf.DUMMYFUNCTION("SPARKLINE(AO11, {""charttype"",""bar""; ""max"",1;""color1"",""green""; ""empty"",""zero""})"),"")</f>
        <v/>
      </c>
    </row>
    <row r="12">
      <c r="A12" s="15">
        <v>5.0</v>
      </c>
      <c r="B12" s="15" t="s">
        <v>26</v>
      </c>
      <c r="C12" s="16" t="b">
        <v>0</v>
      </c>
      <c r="D12" s="16" t="b">
        <v>0</v>
      </c>
      <c r="E12" s="21" t="b">
        <v>0</v>
      </c>
      <c r="F12" s="21" t="b">
        <v>0</v>
      </c>
      <c r="G12" s="16" t="b">
        <v>0</v>
      </c>
      <c r="H12" s="16" t="b">
        <v>0</v>
      </c>
      <c r="I12" s="16" t="b">
        <v>0</v>
      </c>
      <c r="J12" s="22" t="b">
        <v>0</v>
      </c>
      <c r="K12" s="22" t="b">
        <v>0</v>
      </c>
      <c r="L12" s="17" t="b">
        <v>0</v>
      </c>
      <c r="M12" s="17" t="b">
        <v>0</v>
      </c>
      <c r="N12" s="17" t="b">
        <v>0</v>
      </c>
      <c r="O12" s="22" t="b">
        <v>0</v>
      </c>
      <c r="P12" s="22" t="b">
        <v>0</v>
      </c>
      <c r="Q12" s="16" t="b">
        <v>0</v>
      </c>
      <c r="R12" s="16" t="b">
        <v>0</v>
      </c>
      <c r="S12" s="21" t="b">
        <v>0</v>
      </c>
      <c r="T12" s="21" t="b">
        <v>0</v>
      </c>
      <c r="U12" s="16" t="b">
        <v>0</v>
      </c>
      <c r="V12" s="16" t="b">
        <v>0</v>
      </c>
      <c r="W12" s="21" t="b">
        <v>0</v>
      </c>
      <c r="X12" s="17" t="b">
        <v>0</v>
      </c>
      <c r="Y12" s="22" t="b">
        <v>0</v>
      </c>
      <c r="Z12" s="22" t="b">
        <v>0</v>
      </c>
      <c r="AA12" s="22" t="b">
        <v>0</v>
      </c>
      <c r="AB12" s="22" t="b">
        <v>0</v>
      </c>
      <c r="AC12" s="22" t="b">
        <v>0</v>
      </c>
      <c r="AD12" s="22" t="b">
        <v>0</v>
      </c>
      <c r="AE12" s="21" t="b">
        <v>0</v>
      </c>
      <c r="AF12" s="21" t="b">
        <v>0</v>
      </c>
      <c r="AG12" s="21" t="b">
        <v>0</v>
      </c>
      <c r="AH12" s="21" t="b">
        <v>0</v>
      </c>
      <c r="AI12" s="21" t="b">
        <v>0</v>
      </c>
      <c r="AJ12" s="21" t="b">
        <v>0</v>
      </c>
      <c r="AK12" s="21" t="b">
        <v>0</v>
      </c>
      <c r="AM12" s="18">
        <v>31.0</v>
      </c>
      <c r="AN12" s="18">
        <f t="shared" si="1"/>
        <v>0</v>
      </c>
      <c r="AO12" s="19">
        <f t="shared" si="2"/>
        <v>0</v>
      </c>
      <c r="AP12" s="20" t="str">
        <f>IFERROR(__xludf.DUMMYFUNCTION("SPARKLINE(AO12, {""charttype"",""bar""; ""max"",1;""color1"",""green""; ""empty"",""zero""})"),"")</f>
        <v/>
      </c>
    </row>
    <row r="13">
      <c r="A13" s="15">
        <v>6.0</v>
      </c>
      <c r="B13" s="15" t="s">
        <v>27</v>
      </c>
      <c r="C13" s="16" t="b">
        <v>0</v>
      </c>
      <c r="D13" s="21" t="b">
        <v>0</v>
      </c>
      <c r="E13" s="21" t="b">
        <v>0</v>
      </c>
      <c r="F13" s="21" t="b">
        <v>0</v>
      </c>
      <c r="G13" s="21" t="b">
        <v>0</v>
      </c>
      <c r="H13" s="21" t="b">
        <v>0</v>
      </c>
      <c r="I13" s="16" t="b">
        <v>0</v>
      </c>
      <c r="J13" s="17" t="b">
        <v>0</v>
      </c>
      <c r="K13" s="22" t="b">
        <v>0</v>
      </c>
      <c r="L13" s="22" t="b">
        <v>0</v>
      </c>
      <c r="M13" s="22" t="b">
        <v>0</v>
      </c>
      <c r="N13" s="17" t="b">
        <v>0</v>
      </c>
      <c r="O13" s="22" t="b">
        <v>0</v>
      </c>
      <c r="P13" s="22" t="b">
        <v>0</v>
      </c>
      <c r="Q13" s="21" t="b">
        <v>0</v>
      </c>
      <c r="R13" s="16" t="b">
        <v>0</v>
      </c>
      <c r="S13" s="21" t="b">
        <v>0</v>
      </c>
      <c r="T13" s="21" t="b">
        <v>0</v>
      </c>
      <c r="U13" s="16" t="b">
        <v>0</v>
      </c>
      <c r="V13" s="16" t="b">
        <v>0</v>
      </c>
      <c r="W13" s="21" t="b">
        <v>0</v>
      </c>
      <c r="X13" s="17" t="b">
        <v>0</v>
      </c>
      <c r="Y13" s="22" t="b">
        <v>0</v>
      </c>
      <c r="Z13" s="22" t="b">
        <v>0</v>
      </c>
      <c r="AA13" s="22" t="b">
        <v>0</v>
      </c>
      <c r="AB13" s="22" t="b">
        <v>0</v>
      </c>
      <c r="AC13" s="17" t="b">
        <v>0</v>
      </c>
      <c r="AD13" s="22" t="b">
        <v>0</v>
      </c>
      <c r="AE13" s="21" t="b">
        <v>0</v>
      </c>
      <c r="AF13" s="21" t="b">
        <v>0</v>
      </c>
      <c r="AG13" s="21" t="b">
        <v>0</v>
      </c>
      <c r="AH13" s="21" t="b">
        <v>0</v>
      </c>
      <c r="AI13" s="21" t="b">
        <v>0</v>
      </c>
      <c r="AJ13" s="21" t="b">
        <v>0</v>
      </c>
      <c r="AK13" s="21" t="b">
        <v>0</v>
      </c>
      <c r="AM13" s="18">
        <v>31.0</v>
      </c>
      <c r="AN13" s="18">
        <f t="shared" si="1"/>
        <v>0</v>
      </c>
      <c r="AO13" s="19">
        <f t="shared" si="2"/>
        <v>0</v>
      </c>
      <c r="AP13" s="20" t="str">
        <f>IFERROR(__xludf.DUMMYFUNCTION("SPARKLINE(AO13, {""charttype"",""bar""; ""max"",1;""color1"",""green""; ""empty"",""zero""})"),"")</f>
        <v/>
      </c>
    </row>
    <row r="14">
      <c r="A14" s="15">
        <v>7.0</v>
      </c>
      <c r="B14" s="15" t="s">
        <v>28</v>
      </c>
      <c r="C14" s="16" t="b">
        <v>0</v>
      </c>
      <c r="D14" s="16" t="b">
        <v>0</v>
      </c>
      <c r="E14" s="21" t="b">
        <v>0</v>
      </c>
      <c r="F14" s="21" t="b">
        <v>0</v>
      </c>
      <c r="G14" s="16" t="b">
        <v>0</v>
      </c>
      <c r="H14" s="21" t="b">
        <v>0</v>
      </c>
      <c r="I14" s="21" t="b">
        <v>0</v>
      </c>
      <c r="J14" s="17" t="b">
        <v>0</v>
      </c>
      <c r="K14" s="22" t="b">
        <v>0</v>
      </c>
      <c r="L14" s="17" t="b">
        <v>0</v>
      </c>
      <c r="M14" s="17" t="b">
        <v>0</v>
      </c>
      <c r="N14" s="22" t="b">
        <v>0</v>
      </c>
      <c r="O14" s="22" t="b">
        <v>0</v>
      </c>
      <c r="P14" s="22" t="b">
        <v>0</v>
      </c>
      <c r="Q14" s="21" t="b">
        <v>0</v>
      </c>
      <c r="R14" s="16" t="b">
        <v>0</v>
      </c>
      <c r="S14" s="21" t="b">
        <v>0</v>
      </c>
      <c r="T14" s="21" t="b">
        <v>0</v>
      </c>
      <c r="U14" s="16" t="b">
        <v>0</v>
      </c>
      <c r="V14" s="16" t="b">
        <v>0</v>
      </c>
      <c r="W14" s="21" t="b">
        <v>0</v>
      </c>
      <c r="X14" s="17" t="b">
        <v>0</v>
      </c>
      <c r="Y14" s="22" t="b">
        <v>0</v>
      </c>
      <c r="Z14" s="22" t="b">
        <v>0</v>
      </c>
      <c r="AA14" s="22" t="b">
        <v>0</v>
      </c>
      <c r="AB14" s="22" t="b">
        <v>0</v>
      </c>
      <c r="AC14" s="17" t="b">
        <v>0</v>
      </c>
      <c r="AD14" s="22" t="b">
        <v>0</v>
      </c>
      <c r="AE14" s="21" t="b">
        <v>0</v>
      </c>
      <c r="AF14" s="21" t="b">
        <v>0</v>
      </c>
      <c r="AG14" s="16" t="b">
        <v>0</v>
      </c>
      <c r="AH14" s="21" t="b">
        <v>0</v>
      </c>
      <c r="AI14" s="21" t="b">
        <v>0</v>
      </c>
      <c r="AJ14" s="21" t="b">
        <v>0</v>
      </c>
      <c r="AK14" s="16" t="b">
        <v>0</v>
      </c>
      <c r="AM14" s="18">
        <v>31.0</v>
      </c>
      <c r="AN14" s="18">
        <f t="shared" si="1"/>
        <v>0</v>
      </c>
      <c r="AO14" s="19">
        <f t="shared" si="2"/>
        <v>0</v>
      </c>
      <c r="AP14" s="20" t="str">
        <f>IFERROR(__xludf.DUMMYFUNCTION("SPARKLINE(AO14, {""charttype"",""bar""; ""max"",1;""color1"",""green""; ""empty"",""zero""})"),"")</f>
        <v/>
      </c>
    </row>
    <row r="15">
      <c r="A15" s="15">
        <v>8.0</v>
      </c>
      <c r="B15" s="15" t="s">
        <v>29</v>
      </c>
      <c r="C15" s="16" t="b">
        <v>0</v>
      </c>
      <c r="D15" s="21" t="b">
        <v>0</v>
      </c>
      <c r="E15" s="21" t="b">
        <v>0</v>
      </c>
      <c r="F15" s="16" t="b">
        <v>0</v>
      </c>
      <c r="G15" s="21" t="b">
        <v>0</v>
      </c>
      <c r="H15" s="16" t="b">
        <v>0</v>
      </c>
      <c r="I15" s="21" t="b">
        <v>0</v>
      </c>
      <c r="J15" s="17" t="b">
        <v>0</v>
      </c>
      <c r="K15" s="22" t="b">
        <v>0</v>
      </c>
      <c r="L15" s="22" t="b">
        <v>0</v>
      </c>
      <c r="M15" s="17" t="b">
        <v>0</v>
      </c>
      <c r="N15" s="22" t="b">
        <v>0</v>
      </c>
      <c r="O15" s="22" t="b">
        <v>0</v>
      </c>
      <c r="P15" s="22" t="b">
        <v>0</v>
      </c>
      <c r="Q15" s="21" t="b">
        <v>0</v>
      </c>
      <c r="R15" s="16" t="b">
        <v>0</v>
      </c>
      <c r="S15" s="21" t="b">
        <v>0</v>
      </c>
      <c r="T15" s="21" t="b">
        <v>0</v>
      </c>
      <c r="U15" s="16" t="b">
        <v>0</v>
      </c>
      <c r="V15" s="16" t="b">
        <v>0</v>
      </c>
      <c r="W15" s="21" t="b">
        <v>0</v>
      </c>
      <c r="X15" s="17" t="b">
        <v>0</v>
      </c>
      <c r="Y15" s="22" t="b">
        <v>0</v>
      </c>
      <c r="Z15" s="22" t="b">
        <v>0</v>
      </c>
      <c r="AA15" s="22" t="b">
        <v>0</v>
      </c>
      <c r="AB15" s="22" t="b">
        <v>0</v>
      </c>
      <c r="AC15" s="17" t="b">
        <v>0</v>
      </c>
      <c r="AD15" s="22" t="b">
        <v>0</v>
      </c>
      <c r="AE15" s="21" t="b">
        <v>0</v>
      </c>
      <c r="AF15" s="21" t="b">
        <v>0</v>
      </c>
      <c r="AG15" s="16" t="b">
        <v>0</v>
      </c>
      <c r="AH15" s="21" t="b">
        <v>0</v>
      </c>
      <c r="AI15" s="21" t="b">
        <v>0</v>
      </c>
      <c r="AJ15" s="16" t="b">
        <v>0</v>
      </c>
      <c r="AK15" s="16" t="b">
        <v>0</v>
      </c>
      <c r="AM15" s="18">
        <v>31.0</v>
      </c>
      <c r="AN15" s="18">
        <f t="shared" si="1"/>
        <v>0</v>
      </c>
      <c r="AO15" s="19">
        <f t="shared" si="2"/>
        <v>0</v>
      </c>
      <c r="AP15" s="20" t="str">
        <f>IFERROR(__xludf.DUMMYFUNCTION("SPARKLINE(AO15, {""charttype"",""bar""; ""max"",1;""color1"",""green""; ""empty"",""zero""})"),"")</f>
        <v/>
      </c>
    </row>
    <row r="17">
      <c r="A17" s="23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>
      <c r="A18" s="15" t="s">
        <v>3</v>
      </c>
      <c r="C18" s="25">
        <f t="shared" ref="C18:AG18" si="3">IF(COUNTA(C8:C12)=0, 0, COUNTIF(C8:C12, TRUE)/COUNTA(C8:C12))</f>
        <v>0.2</v>
      </c>
      <c r="D18" s="25">
        <f t="shared" si="3"/>
        <v>0</v>
      </c>
      <c r="E18" s="25">
        <f t="shared" si="3"/>
        <v>0</v>
      </c>
      <c r="F18" s="25">
        <f t="shared" si="3"/>
        <v>0</v>
      </c>
      <c r="G18" s="25">
        <f t="shared" si="3"/>
        <v>0</v>
      </c>
      <c r="H18" s="25">
        <f t="shared" si="3"/>
        <v>0</v>
      </c>
      <c r="I18" s="25">
        <f t="shared" si="3"/>
        <v>0</v>
      </c>
      <c r="J18" s="25">
        <f t="shared" si="3"/>
        <v>0</v>
      </c>
      <c r="K18" s="25">
        <f t="shared" si="3"/>
        <v>0</v>
      </c>
      <c r="L18" s="25">
        <f t="shared" si="3"/>
        <v>0</v>
      </c>
      <c r="M18" s="25">
        <f t="shared" si="3"/>
        <v>0</v>
      </c>
      <c r="N18" s="25">
        <f t="shared" si="3"/>
        <v>0</v>
      </c>
      <c r="O18" s="25">
        <f t="shared" si="3"/>
        <v>0</v>
      </c>
      <c r="P18" s="25">
        <f t="shared" si="3"/>
        <v>0</v>
      </c>
      <c r="Q18" s="25">
        <f t="shared" si="3"/>
        <v>0</v>
      </c>
      <c r="R18" s="25">
        <f t="shared" si="3"/>
        <v>0</v>
      </c>
      <c r="S18" s="25">
        <f t="shared" si="3"/>
        <v>0</v>
      </c>
      <c r="T18" s="25">
        <f t="shared" si="3"/>
        <v>0</v>
      </c>
      <c r="U18" s="25">
        <f t="shared" si="3"/>
        <v>0</v>
      </c>
      <c r="V18" s="25">
        <f t="shared" si="3"/>
        <v>0</v>
      </c>
      <c r="W18" s="25">
        <f t="shared" si="3"/>
        <v>0</v>
      </c>
      <c r="X18" s="25">
        <f t="shared" si="3"/>
        <v>0</v>
      </c>
      <c r="Y18" s="25">
        <f t="shared" si="3"/>
        <v>0</v>
      </c>
      <c r="Z18" s="25">
        <f t="shared" si="3"/>
        <v>0</v>
      </c>
      <c r="AA18" s="25">
        <f t="shared" si="3"/>
        <v>0</v>
      </c>
      <c r="AB18" s="25">
        <f t="shared" si="3"/>
        <v>0</v>
      </c>
      <c r="AC18" s="25">
        <f t="shared" si="3"/>
        <v>0</v>
      </c>
      <c r="AD18" s="25">
        <f t="shared" si="3"/>
        <v>0</v>
      </c>
      <c r="AE18" s="25">
        <f t="shared" si="3"/>
        <v>0</v>
      </c>
      <c r="AF18" s="25">
        <f t="shared" si="3"/>
        <v>0</v>
      </c>
      <c r="AG18" s="25">
        <f t="shared" si="3"/>
        <v>0</v>
      </c>
      <c r="AH18" s="3"/>
      <c r="AI18" s="3"/>
      <c r="AJ18" s="3"/>
      <c r="AK18" s="3"/>
      <c r="AL18" s="3"/>
      <c r="AM18" s="11" t="s">
        <v>30</v>
      </c>
    </row>
    <row r="19">
      <c r="A19" s="15" t="s">
        <v>31</v>
      </c>
      <c r="C19" s="26">
        <f t="shared" ref="C19:AG19" si="4">COUNTIF(C8:C12, TRUE)</f>
        <v>1</v>
      </c>
      <c r="D19" s="26">
        <f t="shared" si="4"/>
        <v>0</v>
      </c>
      <c r="E19" s="26">
        <f t="shared" si="4"/>
        <v>0</v>
      </c>
      <c r="F19" s="26">
        <f t="shared" si="4"/>
        <v>0</v>
      </c>
      <c r="G19" s="26">
        <f t="shared" si="4"/>
        <v>0</v>
      </c>
      <c r="H19" s="26">
        <f t="shared" si="4"/>
        <v>0</v>
      </c>
      <c r="I19" s="26">
        <f t="shared" si="4"/>
        <v>0</v>
      </c>
      <c r="J19" s="26">
        <f t="shared" si="4"/>
        <v>0</v>
      </c>
      <c r="K19" s="26">
        <f t="shared" si="4"/>
        <v>0</v>
      </c>
      <c r="L19" s="26">
        <f t="shared" si="4"/>
        <v>0</v>
      </c>
      <c r="M19" s="26">
        <f t="shared" si="4"/>
        <v>0</v>
      </c>
      <c r="N19" s="26">
        <f t="shared" si="4"/>
        <v>0</v>
      </c>
      <c r="O19" s="26">
        <f t="shared" si="4"/>
        <v>0</v>
      </c>
      <c r="P19" s="26">
        <f t="shared" si="4"/>
        <v>0</v>
      </c>
      <c r="Q19" s="26">
        <f t="shared" si="4"/>
        <v>0</v>
      </c>
      <c r="R19" s="26">
        <f t="shared" si="4"/>
        <v>0</v>
      </c>
      <c r="S19" s="26">
        <f t="shared" si="4"/>
        <v>0</v>
      </c>
      <c r="T19" s="26">
        <f t="shared" si="4"/>
        <v>0</v>
      </c>
      <c r="U19" s="26">
        <f t="shared" si="4"/>
        <v>0</v>
      </c>
      <c r="V19" s="26">
        <f t="shared" si="4"/>
        <v>0</v>
      </c>
      <c r="W19" s="26">
        <f t="shared" si="4"/>
        <v>0</v>
      </c>
      <c r="X19" s="26">
        <f t="shared" si="4"/>
        <v>0</v>
      </c>
      <c r="Y19" s="26">
        <f t="shared" si="4"/>
        <v>0</v>
      </c>
      <c r="Z19" s="26">
        <f t="shared" si="4"/>
        <v>0</v>
      </c>
      <c r="AA19" s="26">
        <f t="shared" si="4"/>
        <v>0</v>
      </c>
      <c r="AB19" s="26">
        <f t="shared" si="4"/>
        <v>0</v>
      </c>
      <c r="AC19" s="26">
        <f t="shared" si="4"/>
        <v>0</v>
      </c>
      <c r="AD19" s="26">
        <f t="shared" si="4"/>
        <v>0</v>
      </c>
      <c r="AE19" s="26">
        <f t="shared" si="4"/>
        <v>0</v>
      </c>
      <c r="AF19" s="26">
        <f t="shared" si="4"/>
        <v>0</v>
      </c>
      <c r="AG19" s="26">
        <f t="shared" si="4"/>
        <v>0</v>
      </c>
      <c r="AH19" s="3"/>
      <c r="AI19" s="3"/>
      <c r="AJ19" s="3"/>
      <c r="AK19" s="3"/>
      <c r="AL19" s="3"/>
      <c r="AM19" s="27" t="s">
        <v>32</v>
      </c>
    </row>
    <row r="20">
      <c r="A20" s="15" t="s">
        <v>33</v>
      </c>
      <c r="C20" s="26">
        <f t="shared" ref="C20:AG20" si="5">COUNTIF(C8:C12, FALSE)</f>
        <v>4</v>
      </c>
      <c r="D20" s="26">
        <f t="shared" si="5"/>
        <v>5</v>
      </c>
      <c r="E20" s="26">
        <f t="shared" si="5"/>
        <v>5</v>
      </c>
      <c r="F20" s="26">
        <f t="shared" si="5"/>
        <v>5</v>
      </c>
      <c r="G20" s="26">
        <f t="shared" si="5"/>
        <v>5</v>
      </c>
      <c r="H20" s="26">
        <f t="shared" si="5"/>
        <v>5</v>
      </c>
      <c r="I20" s="26">
        <f t="shared" si="5"/>
        <v>5</v>
      </c>
      <c r="J20" s="26">
        <f t="shared" si="5"/>
        <v>5</v>
      </c>
      <c r="K20" s="26">
        <f t="shared" si="5"/>
        <v>5</v>
      </c>
      <c r="L20" s="26">
        <f t="shared" si="5"/>
        <v>5</v>
      </c>
      <c r="M20" s="26">
        <f t="shared" si="5"/>
        <v>5</v>
      </c>
      <c r="N20" s="26">
        <f t="shared" si="5"/>
        <v>5</v>
      </c>
      <c r="O20" s="26">
        <f t="shared" si="5"/>
        <v>5</v>
      </c>
      <c r="P20" s="26">
        <f t="shared" si="5"/>
        <v>5</v>
      </c>
      <c r="Q20" s="26">
        <f t="shared" si="5"/>
        <v>5</v>
      </c>
      <c r="R20" s="26">
        <f t="shared" si="5"/>
        <v>5</v>
      </c>
      <c r="S20" s="26">
        <f t="shared" si="5"/>
        <v>5</v>
      </c>
      <c r="T20" s="26">
        <f t="shared" si="5"/>
        <v>5</v>
      </c>
      <c r="U20" s="26">
        <f t="shared" si="5"/>
        <v>5</v>
      </c>
      <c r="V20" s="26">
        <f t="shared" si="5"/>
        <v>5</v>
      </c>
      <c r="W20" s="26">
        <f t="shared" si="5"/>
        <v>5</v>
      </c>
      <c r="X20" s="26">
        <f t="shared" si="5"/>
        <v>5</v>
      </c>
      <c r="Y20" s="26">
        <f t="shared" si="5"/>
        <v>5</v>
      </c>
      <c r="Z20" s="26">
        <f t="shared" si="5"/>
        <v>5</v>
      </c>
      <c r="AA20" s="26">
        <f t="shared" si="5"/>
        <v>5</v>
      </c>
      <c r="AB20" s="26">
        <f t="shared" si="5"/>
        <v>5</v>
      </c>
      <c r="AC20" s="26">
        <f t="shared" si="5"/>
        <v>5</v>
      </c>
      <c r="AD20" s="26">
        <f t="shared" si="5"/>
        <v>5</v>
      </c>
      <c r="AE20" s="26">
        <f t="shared" si="5"/>
        <v>5</v>
      </c>
      <c r="AF20" s="26">
        <f t="shared" si="5"/>
        <v>5</v>
      </c>
      <c r="AG20" s="26">
        <f t="shared" si="5"/>
        <v>5</v>
      </c>
      <c r="AH20" s="3"/>
      <c r="AI20" s="3"/>
      <c r="AJ20" s="3"/>
      <c r="AK20" s="3"/>
      <c r="AL20" s="3"/>
    </row>
    <row r="21">
      <c r="AD21" s="28"/>
      <c r="AE21" s="28"/>
      <c r="AF21" s="28"/>
      <c r="AG21" s="28"/>
      <c r="AH21" s="28"/>
      <c r="AI21" s="3"/>
      <c r="AJ21" s="3"/>
      <c r="AK21" s="3"/>
      <c r="AL21" s="3"/>
    </row>
    <row r="22">
      <c r="AD22" s="28"/>
      <c r="AE22" s="28"/>
      <c r="AF22" s="28"/>
      <c r="AG22" s="28"/>
      <c r="AH22" s="28"/>
      <c r="AI22" s="3"/>
      <c r="AJ22" s="3"/>
      <c r="AK22" s="3"/>
      <c r="AL22" s="3"/>
    </row>
    <row r="23">
      <c r="AI23" s="3"/>
      <c r="AJ23" s="3"/>
      <c r="AK23" s="3"/>
      <c r="AL23" s="3"/>
    </row>
    <row r="24">
      <c r="AI24" s="3"/>
      <c r="AJ24" s="3"/>
      <c r="AK24" s="3"/>
      <c r="AL24" s="3"/>
    </row>
    <row r="25">
      <c r="AI25" s="3"/>
      <c r="AJ25" s="3"/>
      <c r="AK25" s="3"/>
      <c r="AL25" s="3"/>
    </row>
    <row r="26">
      <c r="AD26" s="28"/>
      <c r="AE26" s="28"/>
      <c r="AF26" s="28"/>
      <c r="AG26" s="28"/>
      <c r="AH26" s="28"/>
      <c r="AI26" s="3"/>
      <c r="AJ26" s="3"/>
      <c r="AK26" s="3"/>
      <c r="AL26" s="3"/>
    </row>
    <row r="27"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</row>
    <row r="28"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</row>
    <row r="29">
      <c r="AD29" s="28"/>
      <c r="AE29" s="28"/>
      <c r="AF29" s="28"/>
      <c r="AG29" s="28"/>
      <c r="AH29" s="28"/>
      <c r="AM29" s="28"/>
      <c r="AN29" s="28"/>
      <c r="AO29" s="28"/>
      <c r="AP29" s="28"/>
    </row>
    <row r="30">
      <c r="AM30" s="28"/>
      <c r="AN30" s="28"/>
      <c r="AO30" s="28"/>
      <c r="AP30" s="28"/>
    </row>
    <row r="31">
      <c r="AM31" s="28"/>
      <c r="AN31" s="28"/>
      <c r="AO31" s="28"/>
      <c r="AP31" s="28"/>
    </row>
    <row r="32"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</row>
    <row r="33"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</row>
    <row r="34"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</row>
    <row r="35"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</row>
    <row r="36"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</row>
    <row r="37"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</row>
    <row r="38"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</row>
    <row r="39"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</row>
    <row r="40"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</row>
    <row r="41"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</row>
    <row r="42"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</row>
    <row r="43"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</row>
    <row r="44"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</row>
    <row r="45"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</row>
    <row r="46"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</row>
    <row r="47"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</row>
    <row r="48"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</row>
    <row r="49"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</row>
    <row r="50"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</row>
    <row r="51"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</row>
    <row r="52"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</row>
    <row r="53"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</row>
    <row r="54"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</row>
    <row r="55"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</row>
    <row r="56"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</row>
    <row r="57"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</row>
    <row r="58"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</row>
    <row r="59"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</row>
    <row r="60"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</row>
    <row r="61"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</row>
    <row r="62"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</row>
    <row r="63"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</row>
    <row r="64"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</row>
    <row r="65">
      <c r="J65" s="15" t="s">
        <v>27</v>
      </c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</row>
    <row r="66">
      <c r="J66" s="15" t="s">
        <v>25</v>
      </c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</row>
    <row r="67">
      <c r="J67" s="15" t="s">
        <v>34</v>
      </c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</row>
    <row r="68">
      <c r="J68" s="15" t="s">
        <v>26</v>
      </c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</row>
    <row r="69"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</row>
    <row r="70"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</row>
    <row r="71"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</row>
    <row r="72"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</row>
    <row r="73"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</row>
    <row r="74"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</row>
    <row r="75"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</row>
    <row r="76"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</row>
    <row r="77"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</row>
    <row r="78"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</row>
    <row r="79"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</row>
    <row r="80"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</row>
    <row r="81"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</row>
    <row r="82"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</row>
    <row r="83"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</row>
    <row r="84"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</row>
    <row r="85"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</row>
    <row r="86"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</row>
    <row r="87"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</row>
    <row r="88"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</row>
    <row r="89"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</row>
    <row r="90"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</row>
    <row r="91"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</row>
    <row r="92"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</row>
    <row r="93"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</row>
    <row r="94"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</row>
    <row r="95"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</row>
    <row r="96"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</row>
    <row r="97"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</row>
    <row r="98"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</row>
    <row r="99"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</row>
    <row r="100"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</row>
    <row r="101"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</row>
    <row r="102"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</row>
    <row r="103"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</row>
    <row r="104"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</row>
    <row r="105"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</row>
    <row r="106"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</row>
    <row r="107"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</row>
    <row r="108"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</row>
    <row r="109"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</row>
    <row r="110"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</row>
    <row r="111"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</row>
    <row r="112"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</row>
    <row r="113"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</row>
    <row r="114"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</row>
    <row r="115"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</row>
    <row r="116"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</row>
    <row r="117"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</row>
    <row r="118"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</row>
    <row r="119"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</row>
    <row r="120"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</row>
    <row r="121"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</row>
    <row r="122"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</row>
    <row r="123"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</row>
    <row r="124"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</row>
    <row r="125"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</row>
    <row r="126"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</row>
    <row r="127"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</row>
    <row r="128"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</row>
    <row r="129"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</row>
    <row r="130"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</row>
    <row r="131"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</row>
    <row r="132"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</row>
    <row r="133"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</row>
    <row r="134"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</row>
    <row r="135"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</row>
    <row r="136"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</row>
    <row r="137"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</row>
    <row r="138"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</row>
    <row r="139"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</row>
    <row r="140"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</row>
    <row r="141"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</row>
    <row r="142"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</row>
    <row r="143"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</row>
    <row r="144"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</row>
    <row r="145"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</row>
    <row r="146"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</row>
    <row r="147"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</row>
    <row r="148"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</row>
    <row r="149"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</row>
    <row r="150"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</row>
    <row r="151"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</row>
    <row r="152"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</row>
    <row r="153"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</row>
    <row r="154"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</row>
    <row r="155"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</row>
    <row r="156"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</row>
    <row r="157"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</row>
    <row r="158"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</row>
    <row r="159"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</row>
    <row r="160"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</row>
    <row r="161"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</row>
    <row r="162"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</row>
    <row r="163"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</row>
    <row r="164"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</row>
    <row r="165"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</row>
    <row r="166"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</row>
    <row r="167"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</row>
    <row r="168"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</row>
    <row r="169"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</row>
    <row r="170"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</row>
    <row r="171"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</row>
    <row r="172"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</row>
    <row r="173"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</row>
    <row r="174"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</row>
    <row r="175"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</row>
    <row r="176"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</row>
    <row r="177"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</row>
    <row r="178"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</row>
    <row r="179"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</row>
    <row r="180"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</row>
    <row r="181"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</row>
    <row r="182"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</row>
    <row r="183"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</row>
    <row r="184"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</row>
    <row r="185"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</row>
    <row r="186"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</row>
    <row r="187"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</row>
    <row r="188"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</row>
    <row r="189"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</row>
    <row r="190"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</row>
    <row r="191"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</row>
    <row r="192"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</row>
    <row r="193"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</row>
    <row r="194"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</row>
    <row r="195"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</row>
    <row r="196"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</row>
    <row r="197"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</row>
    <row r="198"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</row>
    <row r="199"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</row>
    <row r="200"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</row>
    <row r="201"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</row>
    <row r="202"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</row>
    <row r="203"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</row>
    <row r="204"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</row>
    <row r="205"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</row>
    <row r="206"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</row>
    <row r="207"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</row>
    <row r="208"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</row>
    <row r="209"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</row>
    <row r="210"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</row>
    <row r="211"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</row>
    <row r="212"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</row>
    <row r="213"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</row>
    <row r="214"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</row>
    <row r="215"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</row>
    <row r="216"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</row>
    <row r="217"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</row>
    <row r="218"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</row>
    <row r="219"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</row>
    <row r="220"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</row>
    <row r="221"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</row>
    <row r="222"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</row>
    <row r="223"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</row>
    <row r="224"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</row>
    <row r="225"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</row>
    <row r="226"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</row>
    <row r="227"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</row>
    <row r="228"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</row>
    <row r="229"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</row>
    <row r="230"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</row>
    <row r="231"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</row>
    <row r="232"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</row>
    <row r="233"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</row>
    <row r="234"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</row>
    <row r="235"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</row>
    <row r="236"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</row>
    <row r="237"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</row>
    <row r="238"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</row>
    <row r="239"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</row>
    <row r="240"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</row>
    <row r="241"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</row>
    <row r="242"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</row>
    <row r="243"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</row>
    <row r="244"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</row>
    <row r="245"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</row>
    <row r="246"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</row>
    <row r="247"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</row>
    <row r="248"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</row>
    <row r="249"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</row>
    <row r="250"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</row>
    <row r="251"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</row>
    <row r="252"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</row>
    <row r="253"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</row>
    <row r="254"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</row>
    <row r="255"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</row>
    <row r="256"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</row>
    <row r="257"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</row>
    <row r="258"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</row>
    <row r="259"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</row>
    <row r="260"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</row>
    <row r="261"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</row>
    <row r="262"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</row>
    <row r="263"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</row>
    <row r="264"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</row>
    <row r="265"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</row>
    <row r="266"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</row>
    <row r="267"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</row>
    <row r="268"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</row>
    <row r="269"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</row>
    <row r="270"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</row>
    <row r="271"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</row>
    <row r="272"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</row>
    <row r="273"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</row>
    <row r="274"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</row>
    <row r="275"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</row>
    <row r="276"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</row>
    <row r="277"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</row>
    <row r="278"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</row>
    <row r="279"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</row>
    <row r="280"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</row>
    <row r="281"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</row>
    <row r="282"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</row>
    <row r="283"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</row>
    <row r="284"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</row>
    <row r="285"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</row>
    <row r="286"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</row>
    <row r="287"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</row>
    <row r="288"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</row>
    <row r="289"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</row>
    <row r="290"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</row>
    <row r="291"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</row>
    <row r="292"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</row>
    <row r="293"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</row>
    <row r="294"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</row>
    <row r="295"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</row>
    <row r="296"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</row>
    <row r="297"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</row>
    <row r="298"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</row>
    <row r="299"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</row>
    <row r="300"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</row>
    <row r="301"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</row>
    <row r="302"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</row>
    <row r="303"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</row>
    <row r="304"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</row>
    <row r="305"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</row>
    <row r="306"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</row>
    <row r="307"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</row>
    <row r="308"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</row>
    <row r="309"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</row>
    <row r="310"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</row>
    <row r="311"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</row>
    <row r="312"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</row>
    <row r="313"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</row>
    <row r="314"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</row>
    <row r="315"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</row>
    <row r="316"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</row>
    <row r="317"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</row>
    <row r="318"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</row>
    <row r="319"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</row>
    <row r="320"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</row>
    <row r="321"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</row>
    <row r="322"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</row>
    <row r="323"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</row>
    <row r="324"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</row>
    <row r="325"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</row>
    <row r="326"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</row>
    <row r="327"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</row>
    <row r="328"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</row>
    <row r="329"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</row>
    <row r="330"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</row>
    <row r="331"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</row>
    <row r="332"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</row>
    <row r="333"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</row>
    <row r="334"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</row>
    <row r="335"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</row>
    <row r="336"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</row>
    <row r="337"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</row>
    <row r="338"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</row>
    <row r="339"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</row>
    <row r="340"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</row>
    <row r="341"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</row>
    <row r="342"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</row>
    <row r="343"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</row>
    <row r="344"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</row>
    <row r="345"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</row>
    <row r="346"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</row>
    <row r="347"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</row>
    <row r="348"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</row>
    <row r="349"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</row>
    <row r="350"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</row>
    <row r="351"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</row>
    <row r="352"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</row>
    <row r="353"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</row>
    <row r="354"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</row>
    <row r="355"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</row>
    <row r="356"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</row>
    <row r="357"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</row>
    <row r="358"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</row>
    <row r="359"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</row>
    <row r="360"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</row>
    <row r="361"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</row>
    <row r="362"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</row>
    <row r="363"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</row>
    <row r="364"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</row>
    <row r="365"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</row>
    <row r="366"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</row>
    <row r="367"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</row>
    <row r="368"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</row>
    <row r="369"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</row>
    <row r="370"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</row>
    <row r="371"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</row>
    <row r="372"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</row>
    <row r="373"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</row>
    <row r="374"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</row>
    <row r="375"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</row>
    <row r="376"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</row>
    <row r="377"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</row>
    <row r="378"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</row>
    <row r="379"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</row>
    <row r="380"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</row>
    <row r="381"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</row>
    <row r="382"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</row>
    <row r="383"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</row>
    <row r="384"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</row>
    <row r="385"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</row>
    <row r="386"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</row>
    <row r="387"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</row>
    <row r="388"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</row>
    <row r="389"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</row>
    <row r="390"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</row>
    <row r="391"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</row>
    <row r="392"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</row>
    <row r="393"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</row>
    <row r="394"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</row>
    <row r="395"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</row>
    <row r="396"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</row>
    <row r="397"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</row>
    <row r="398"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</row>
    <row r="399"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</row>
    <row r="400"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</row>
    <row r="401"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</row>
    <row r="402"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</row>
    <row r="403"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</row>
    <row r="404"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</row>
    <row r="405"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</row>
    <row r="406"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</row>
    <row r="407"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</row>
    <row r="408"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</row>
    <row r="409"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</row>
    <row r="410"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</row>
    <row r="411"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</row>
    <row r="412"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</row>
    <row r="413"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</row>
    <row r="414"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</row>
    <row r="415"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</row>
    <row r="416"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</row>
    <row r="417"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</row>
    <row r="418"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</row>
    <row r="419"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</row>
    <row r="420"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</row>
    <row r="421"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</row>
    <row r="422"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</row>
    <row r="423"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</row>
    <row r="424"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</row>
    <row r="425"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</row>
    <row r="426"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</row>
    <row r="427"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</row>
    <row r="428"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</row>
    <row r="429"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</row>
    <row r="430"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</row>
    <row r="431"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</row>
    <row r="432"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</row>
    <row r="433"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</row>
    <row r="434"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</row>
    <row r="435"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</row>
    <row r="436"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</row>
    <row r="437"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</row>
    <row r="438"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</row>
    <row r="439"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</row>
    <row r="440"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</row>
    <row r="441"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</row>
    <row r="442"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</row>
    <row r="443"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</row>
    <row r="444"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</row>
    <row r="445"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</row>
    <row r="446"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</row>
    <row r="447"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</row>
    <row r="448"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</row>
    <row r="449"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</row>
    <row r="450"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</row>
    <row r="451"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</row>
    <row r="452"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</row>
    <row r="453"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</row>
    <row r="454"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</row>
    <row r="455"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</row>
    <row r="456"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</row>
    <row r="457"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</row>
    <row r="458"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</row>
    <row r="459"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</row>
    <row r="460"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</row>
    <row r="461"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</row>
    <row r="462"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</row>
    <row r="463"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</row>
    <row r="464"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</row>
    <row r="465"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</row>
    <row r="466"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</row>
    <row r="467"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</row>
    <row r="468"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</row>
    <row r="469"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</row>
    <row r="470"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</row>
    <row r="471"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</row>
    <row r="472"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</row>
    <row r="473"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</row>
    <row r="474"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</row>
    <row r="475"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</row>
    <row r="476"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</row>
    <row r="477"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</row>
    <row r="478"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</row>
    <row r="479"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</row>
    <row r="480"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</row>
    <row r="481"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</row>
    <row r="482"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</row>
    <row r="483"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</row>
    <row r="484"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</row>
    <row r="485"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</row>
    <row r="486"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</row>
    <row r="487"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</row>
    <row r="488"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</row>
    <row r="489"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</row>
    <row r="490"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</row>
    <row r="491"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</row>
    <row r="492"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</row>
    <row r="493"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</row>
    <row r="494"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</row>
    <row r="495"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</row>
    <row r="496"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</row>
    <row r="497"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</row>
    <row r="498"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</row>
    <row r="499"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</row>
    <row r="500"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</row>
    <row r="501"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</row>
    <row r="502"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</row>
    <row r="503"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</row>
    <row r="504"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</row>
    <row r="505"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</row>
    <row r="506"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</row>
    <row r="507"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</row>
    <row r="508"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</row>
    <row r="509"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</row>
    <row r="510"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</row>
    <row r="511"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</row>
    <row r="512"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</row>
    <row r="513"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</row>
    <row r="514"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</row>
    <row r="515"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</row>
    <row r="516"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</row>
    <row r="517"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</row>
    <row r="518"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</row>
    <row r="519"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</row>
    <row r="520"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</row>
    <row r="521"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</row>
    <row r="522"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</row>
    <row r="523"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</row>
    <row r="524"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</row>
    <row r="525"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</row>
    <row r="526"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</row>
    <row r="527"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</row>
    <row r="528"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</row>
    <row r="529"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</row>
    <row r="530"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</row>
    <row r="531"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</row>
    <row r="532"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</row>
    <row r="533"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</row>
    <row r="534"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</row>
    <row r="535"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</row>
    <row r="536"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</row>
    <row r="537"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</row>
    <row r="538"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</row>
    <row r="539"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</row>
    <row r="540"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</row>
    <row r="541"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</row>
    <row r="542"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</row>
    <row r="543"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</row>
    <row r="544"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</row>
    <row r="545"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</row>
    <row r="546"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</row>
    <row r="547"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</row>
    <row r="548"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</row>
    <row r="549"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</row>
    <row r="550"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</row>
    <row r="551"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</row>
    <row r="552"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</row>
    <row r="553"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</row>
    <row r="554"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</row>
    <row r="555"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</row>
    <row r="556"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</row>
    <row r="557"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</row>
    <row r="558"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</row>
    <row r="559"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</row>
    <row r="560"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</row>
    <row r="561"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</row>
    <row r="562"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</row>
    <row r="563"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</row>
    <row r="564"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</row>
    <row r="565"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</row>
    <row r="566"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</row>
    <row r="567"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</row>
    <row r="568"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</row>
    <row r="569"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</row>
    <row r="570"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</row>
    <row r="571"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</row>
    <row r="572"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</row>
    <row r="573"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</row>
    <row r="574"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</row>
    <row r="575"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</row>
    <row r="576"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</row>
    <row r="577"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</row>
    <row r="578"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</row>
    <row r="579"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</row>
    <row r="580"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</row>
    <row r="581"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</row>
    <row r="582"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</row>
    <row r="583"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</row>
    <row r="584"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</row>
    <row r="585"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</row>
    <row r="586"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</row>
    <row r="587"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</row>
    <row r="588"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</row>
    <row r="589"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</row>
    <row r="590"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</row>
    <row r="591"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</row>
    <row r="592"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</row>
    <row r="593"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</row>
    <row r="594"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</row>
    <row r="595"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</row>
    <row r="596"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</row>
    <row r="597"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</row>
    <row r="598"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</row>
    <row r="599"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</row>
    <row r="600"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</row>
    <row r="601"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</row>
    <row r="602"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</row>
    <row r="603"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</row>
    <row r="604"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</row>
    <row r="605"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</row>
    <row r="606"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</row>
    <row r="607"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</row>
    <row r="608"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</row>
    <row r="609"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</row>
    <row r="610"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</row>
    <row r="611"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</row>
    <row r="612"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</row>
    <row r="613"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</row>
    <row r="614"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</row>
    <row r="615"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</row>
    <row r="616"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</row>
    <row r="617"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</row>
    <row r="618"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</row>
    <row r="619"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</row>
    <row r="620"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</row>
    <row r="621"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</row>
    <row r="622"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</row>
    <row r="623"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</row>
    <row r="624"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</row>
    <row r="625"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</row>
    <row r="626"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</row>
    <row r="627"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</row>
    <row r="628"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</row>
    <row r="629"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</row>
    <row r="630"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</row>
    <row r="631"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</row>
    <row r="632"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</row>
    <row r="633"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</row>
    <row r="634"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</row>
    <row r="635"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</row>
    <row r="636"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</row>
    <row r="637"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</row>
    <row r="638"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</row>
    <row r="639"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</row>
    <row r="640"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</row>
    <row r="641"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</row>
    <row r="642"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</row>
    <row r="643"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</row>
    <row r="644"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</row>
    <row r="645"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</row>
    <row r="646"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</row>
    <row r="647"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</row>
    <row r="648"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</row>
    <row r="649"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</row>
    <row r="650"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</row>
    <row r="651"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</row>
    <row r="652"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</row>
    <row r="653"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</row>
    <row r="654"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</row>
    <row r="655"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</row>
    <row r="656"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</row>
    <row r="657"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</row>
    <row r="658"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</row>
    <row r="659"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</row>
    <row r="660"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</row>
    <row r="661"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</row>
    <row r="662"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</row>
    <row r="663"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</row>
    <row r="664"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</row>
    <row r="665"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</row>
    <row r="666"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</row>
    <row r="667"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</row>
    <row r="668"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</row>
    <row r="669"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</row>
    <row r="670"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</row>
    <row r="671"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</row>
    <row r="672"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</row>
    <row r="673"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</row>
    <row r="674"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</row>
    <row r="675"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</row>
    <row r="676"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</row>
    <row r="677"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</row>
    <row r="678"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</row>
    <row r="679"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</row>
    <row r="680"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</row>
    <row r="681"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</row>
    <row r="682"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</row>
    <row r="683"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</row>
    <row r="684"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</row>
    <row r="685"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</row>
    <row r="686"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</row>
    <row r="687"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</row>
    <row r="688"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</row>
    <row r="689"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</row>
    <row r="690"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</row>
    <row r="691"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</row>
    <row r="692"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</row>
    <row r="693"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</row>
    <row r="694"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</row>
    <row r="695"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</row>
    <row r="696"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</row>
    <row r="697"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</row>
    <row r="698"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</row>
    <row r="699"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</row>
    <row r="700"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</row>
    <row r="701"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</row>
    <row r="702"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</row>
    <row r="703"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</row>
    <row r="704"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</row>
    <row r="705"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</row>
    <row r="706"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</row>
    <row r="707"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</row>
    <row r="708"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</row>
    <row r="709"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</row>
    <row r="710"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</row>
    <row r="711"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</row>
    <row r="712"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</row>
    <row r="713"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</row>
    <row r="714"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</row>
    <row r="715"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</row>
    <row r="716"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</row>
    <row r="717"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</row>
    <row r="718"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</row>
    <row r="719"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</row>
    <row r="720"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</row>
    <row r="721"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</row>
    <row r="722"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</row>
    <row r="723"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</row>
    <row r="724"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</row>
    <row r="725"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</row>
    <row r="726"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</row>
    <row r="727"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</row>
    <row r="728"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</row>
    <row r="729"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</row>
    <row r="730"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</row>
    <row r="731"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</row>
    <row r="732"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</row>
    <row r="733"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</row>
    <row r="734"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</row>
    <row r="735"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</row>
    <row r="736"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</row>
    <row r="737"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</row>
    <row r="738"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</row>
    <row r="739"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</row>
    <row r="740"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</row>
    <row r="741"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</row>
    <row r="742"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</row>
    <row r="743"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</row>
    <row r="744"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</row>
    <row r="745"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</row>
    <row r="746"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</row>
    <row r="747"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</row>
    <row r="748"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</row>
    <row r="749"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</row>
    <row r="750"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</row>
    <row r="751"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</row>
    <row r="752"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</row>
    <row r="753"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</row>
    <row r="754"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</row>
    <row r="755"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</row>
    <row r="756"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</row>
    <row r="757"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</row>
    <row r="758"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</row>
    <row r="759"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</row>
    <row r="760"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</row>
    <row r="761"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</row>
    <row r="762"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</row>
    <row r="763"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</row>
    <row r="764"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</row>
    <row r="765"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</row>
    <row r="766"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</row>
    <row r="767"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</row>
    <row r="768"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</row>
    <row r="769"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</row>
    <row r="770"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</row>
    <row r="771"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</row>
    <row r="772"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</row>
    <row r="773"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</row>
    <row r="774"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</row>
    <row r="775"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</row>
    <row r="776"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</row>
    <row r="777"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</row>
    <row r="778"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</row>
    <row r="779"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</row>
    <row r="780"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</row>
    <row r="781"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</row>
    <row r="782"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</row>
    <row r="783"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</row>
    <row r="784"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</row>
    <row r="785"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</row>
    <row r="786"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</row>
    <row r="787"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</row>
    <row r="788"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</row>
    <row r="789"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</row>
    <row r="790"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</row>
    <row r="791"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</row>
    <row r="792"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</row>
    <row r="793"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</row>
    <row r="794"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</row>
    <row r="795"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</row>
    <row r="796"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</row>
    <row r="797"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</row>
    <row r="798"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</row>
    <row r="799"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</row>
    <row r="800"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</row>
    <row r="801"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</row>
    <row r="802"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</row>
    <row r="803"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</row>
    <row r="804"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</row>
    <row r="805"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</row>
    <row r="806"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</row>
    <row r="807"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</row>
    <row r="808"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</row>
    <row r="809"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</row>
    <row r="810"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</row>
    <row r="811"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</row>
    <row r="812"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</row>
    <row r="813"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</row>
    <row r="814"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</row>
    <row r="815"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</row>
    <row r="816"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</row>
    <row r="817"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</row>
    <row r="818"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</row>
    <row r="819"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</row>
    <row r="820"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</row>
    <row r="821"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</row>
    <row r="822"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</row>
    <row r="823"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</row>
    <row r="824"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</row>
    <row r="825"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</row>
    <row r="826"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</row>
    <row r="827"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</row>
    <row r="828"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</row>
    <row r="829"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</row>
    <row r="830"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</row>
    <row r="831"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</row>
    <row r="832"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</row>
    <row r="833"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</row>
    <row r="834"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</row>
    <row r="835"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</row>
    <row r="836"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</row>
    <row r="837"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</row>
    <row r="838"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</row>
    <row r="839"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</row>
    <row r="840"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</row>
    <row r="841"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</row>
    <row r="842"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</row>
    <row r="843"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</row>
    <row r="844"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</row>
    <row r="845"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</row>
    <row r="846"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</row>
    <row r="847"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</row>
    <row r="848"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</row>
    <row r="849"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</row>
    <row r="850"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</row>
    <row r="851"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</row>
    <row r="852"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</row>
    <row r="853"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</row>
    <row r="854"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</row>
    <row r="855"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</row>
    <row r="856"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</row>
    <row r="857"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</row>
    <row r="858"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</row>
    <row r="859"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</row>
    <row r="860"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</row>
    <row r="861"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</row>
    <row r="862"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</row>
    <row r="863"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</row>
    <row r="864"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</row>
    <row r="865"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</row>
    <row r="866"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</row>
    <row r="867"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</row>
    <row r="868"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</row>
    <row r="869"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</row>
    <row r="870"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</row>
    <row r="871"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</row>
    <row r="872"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</row>
    <row r="873"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</row>
    <row r="874"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</row>
    <row r="875"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</row>
    <row r="876"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</row>
    <row r="877"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</row>
    <row r="878"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</row>
    <row r="879"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</row>
    <row r="880"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</row>
    <row r="881"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</row>
    <row r="882"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</row>
    <row r="883"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</row>
    <row r="884"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</row>
    <row r="885"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</row>
    <row r="886"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</row>
    <row r="887"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</row>
    <row r="888"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</row>
    <row r="889"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</row>
    <row r="890"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</row>
    <row r="891"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</row>
    <row r="892"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</row>
    <row r="893"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</row>
    <row r="894"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</row>
    <row r="895"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</row>
    <row r="896"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</row>
    <row r="897"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</row>
    <row r="898"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</row>
    <row r="899"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</row>
    <row r="900"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</row>
    <row r="901"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</row>
    <row r="902"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</row>
    <row r="903"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</row>
    <row r="904"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</row>
    <row r="905"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</row>
    <row r="906"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</row>
    <row r="907"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</row>
    <row r="908"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</row>
    <row r="909"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</row>
    <row r="910"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</row>
    <row r="911"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</row>
    <row r="912"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</row>
    <row r="913"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</row>
    <row r="914"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</row>
    <row r="915"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</row>
    <row r="916"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</row>
    <row r="917"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</row>
    <row r="918"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</row>
    <row r="919"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</row>
    <row r="920"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</row>
    <row r="921"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</row>
    <row r="922"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</row>
    <row r="923"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</row>
    <row r="924"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</row>
    <row r="925"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</row>
    <row r="926"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</row>
    <row r="927"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</row>
    <row r="928"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</row>
    <row r="929"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</row>
    <row r="930"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</row>
    <row r="931"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</row>
    <row r="932"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</row>
    <row r="933"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</row>
    <row r="934"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</row>
    <row r="935"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</row>
    <row r="936"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</row>
    <row r="937"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</row>
    <row r="938"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</row>
    <row r="939"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</row>
    <row r="940"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</row>
    <row r="941"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</row>
    <row r="942"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</row>
    <row r="943"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</row>
    <row r="944"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</row>
    <row r="945"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</row>
    <row r="946"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</row>
    <row r="947"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</row>
    <row r="948"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</row>
    <row r="949"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</row>
    <row r="950"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</row>
    <row r="951"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</row>
    <row r="952"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</row>
    <row r="953"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</row>
    <row r="954"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</row>
    <row r="955"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</row>
    <row r="956"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</row>
    <row r="957"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</row>
    <row r="958"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</row>
    <row r="959"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</row>
    <row r="960"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</row>
    <row r="961"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</row>
    <row r="962"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</row>
    <row r="963"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</row>
    <row r="964"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</row>
    <row r="965"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</row>
    <row r="966"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</row>
    <row r="967"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</row>
    <row r="968"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</row>
    <row r="969"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</row>
    <row r="970"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</row>
    <row r="971"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</row>
    <row r="972"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</row>
    <row r="973"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</row>
    <row r="974"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</row>
    <row r="975"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</row>
    <row r="976"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</row>
    <row r="977"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</row>
    <row r="978"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</row>
    <row r="979"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</row>
    <row r="980"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</row>
    <row r="981"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</row>
    <row r="982"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</row>
    <row r="983"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</row>
    <row r="984"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</row>
    <row r="985"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</row>
    <row r="986"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</row>
    <row r="987"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</row>
    <row r="988"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</row>
    <row r="989"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</row>
    <row r="990"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</row>
    <row r="991"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</row>
    <row r="992"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</row>
    <row r="993"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</row>
    <row r="994"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</row>
    <row r="995"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</row>
    <row r="996"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</row>
    <row r="997"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</row>
    <row r="998"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</row>
    <row r="999"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</row>
    <row r="1000"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</row>
    <row r="1001">
      <c r="AD1001" s="28"/>
      <c r="AE1001" s="28"/>
      <c r="AF1001" s="28"/>
      <c r="AG1001" s="28"/>
      <c r="AH1001" s="28"/>
      <c r="AI1001" s="28"/>
      <c r="AJ1001" s="28"/>
      <c r="AK1001" s="28"/>
      <c r="AL1001" s="28"/>
      <c r="AM1001" s="28"/>
      <c r="AN1001" s="28"/>
      <c r="AO1001" s="28"/>
      <c r="AP1001" s="28"/>
    </row>
    <row r="1002">
      <c r="AD1002" s="28"/>
      <c r="AE1002" s="28"/>
      <c r="AF1002" s="28"/>
      <c r="AG1002" s="28"/>
      <c r="AH1002" s="28"/>
      <c r="AI1002" s="28"/>
      <c r="AJ1002" s="28"/>
      <c r="AK1002" s="28"/>
      <c r="AL1002" s="28"/>
      <c r="AM1002" s="28"/>
      <c r="AN1002" s="28"/>
      <c r="AO1002" s="28"/>
      <c r="AP1002" s="28"/>
    </row>
  </sheetData>
  <mergeCells count="23">
    <mergeCell ref="C5:I5"/>
    <mergeCell ref="A1:H3"/>
    <mergeCell ref="I1:N1"/>
    <mergeCell ref="I2:N2"/>
    <mergeCell ref="A18:B18"/>
    <mergeCell ref="A19:B19"/>
    <mergeCell ref="A20:B20"/>
    <mergeCell ref="A5:B7"/>
    <mergeCell ref="O1:V1"/>
    <mergeCell ref="W1:AC1"/>
    <mergeCell ref="AD1:AG1"/>
    <mergeCell ref="J5:P5"/>
    <mergeCell ref="Q5:W5"/>
    <mergeCell ref="AM19:AP26"/>
    <mergeCell ref="AM18:AP18"/>
    <mergeCell ref="AE5:AK5"/>
    <mergeCell ref="AM5:AP6"/>
    <mergeCell ref="W2:AC2"/>
    <mergeCell ref="AD2:AG2"/>
    <mergeCell ref="I3:AG3"/>
    <mergeCell ref="O2:V2"/>
    <mergeCell ref="X5:AD5"/>
    <mergeCell ref="A4:AG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26.25"/>
    <col customWidth="1" min="3" max="22" width="4.13"/>
    <col customWidth="1" min="23" max="23" width="4.5"/>
    <col customWidth="1" min="24" max="35" width="4.13"/>
    <col customWidth="1" min="36" max="36" width="5.38"/>
    <col customWidth="1" min="37" max="37" width="3.75"/>
    <col customWidth="1" min="38" max="38" width="5.25"/>
    <col customWidth="1" min="39" max="39" width="4.5"/>
    <col customWidth="1" min="40" max="40" width="4.75"/>
    <col customWidth="1" min="41" max="41" width="6.88"/>
    <col customWidth="1" min="42" max="42" width="13.25"/>
  </cols>
  <sheetData>
    <row r="1" ht="36.75" customHeight="1">
      <c r="A1" s="1" t="s">
        <v>0</v>
      </c>
      <c r="I1" s="2" t="s">
        <v>1</v>
      </c>
      <c r="O1" s="2" t="s">
        <v>2</v>
      </c>
      <c r="W1" s="2" t="s">
        <v>3</v>
      </c>
      <c r="AD1" s="2" t="s">
        <v>4</v>
      </c>
      <c r="AH1" s="3"/>
      <c r="AI1" s="3"/>
      <c r="AJ1" s="3"/>
      <c r="AK1" s="3"/>
      <c r="AL1" s="3"/>
    </row>
    <row r="2">
      <c r="I2" s="2">
        <v>8.0</v>
      </c>
      <c r="O2" s="4">
        <f>COUNTIF(C8:AG12, TRUE)</f>
        <v>1</v>
      </c>
      <c r="W2" s="5" t="str">
        <f>IFERROR(__xludf.DUMMYFUNCTION("SPARKLINE(AD2, {""charttype"",""bar""; ""max"",1;""color1"",""green""; ""empty"",""zero""})"),"")</f>
        <v/>
      </c>
      <c r="X2" s="6"/>
      <c r="Y2" s="6"/>
      <c r="Z2" s="6"/>
      <c r="AA2" s="6"/>
      <c r="AB2" s="6"/>
      <c r="AC2" s="7"/>
      <c r="AD2" s="8">
        <f>SUM(O2) / (COUNTA(C8:AG8) * ROWS(C8:AG15))</f>
        <v>0.004032258065</v>
      </c>
      <c r="AH2" s="3"/>
      <c r="AI2" s="3"/>
      <c r="AJ2" s="3"/>
      <c r="AK2" s="3"/>
      <c r="AL2" s="3"/>
    </row>
    <row r="3">
      <c r="I3" s="9"/>
      <c r="AH3" s="3"/>
      <c r="AI3" s="3"/>
      <c r="AJ3" s="3"/>
      <c r="AK3" s="3"/>
      <c r="AL3" s="3"/>
    </row>
    <row r="4">
      <c r="A4" s="10"/>
      <c r="AH4" s="3"/>
      <c r="AI4" s="3"/>
      <c r="AJ4" s="3"/>
      <c r="AK4" s="3"/>
      <c r="AL4" s="3"/>
      <c r="AM4" s="3"/>
      <c r="AN4" s="3"/>
      <c r="AO4" s="3"/>
      <c r="AP4" s="3"/>
    </row>
    <row r="5">
      <c r="A5" s="11" t="s">
        <v>5</v>
      </c>
      <c r="C5" s="12" t="s">
        <v>6</v>
      </c>
      <c r="J5" s="11" t="s">
        <v>7</v>
      </c>
      <c r="Q5" s="12" t="s">
        <v>8</v>
      </c>
      <c r="X5" s="11" t="s">
        <v>9</v>
      </c>
      <c r="AE5" s="12" t="s">
        <v>10</v>
      </c>
      <c r="AM5" s="13" t="s">
        <v>11</v>
      </c>
    </row>
    <row r="6"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2" t="s">
        <v>17</v>
      </c>
      <c r="I6" s="12" t="s">
        <v>18</v>
      </c>
      <c r="J6" s="11" t="s">
        <v>12</v>
      </c>
      <c r="K6" s="11" t="s">
        <v>13</v>
      </c>
      <c r="L6" s="11" t="s">
        <v>14</v>
      </c>
      <c r="M6" s="11" t="s">
        <v>15</v>
      </c>
      <c r="N6" s="11" t="s">
        <v>16</v>
      </c>
      <c r="O6" s="11" t="s">
        <v>17</v>
      </c>
      <c r="P6" s="11" t="s">
        <v>18</v>
      </c>
      <c r="Q6" s="12" t="s">
        <v>12</v>
      </c>
      <c r="R6" s="12" t="s">
        <v>13</v>
      </c>
      <c r="S6" s="12" t="s">
        <v>14</v>
      </c>
      <c r="T6" s="12" t="s">
        <v>15</v>
      </c>
      <c r="U6" s="12" t="s">
        <v>16</v>
      </c>
      <c r="V6" s="12" t="s">
        <v>17</v>
      </c>
      <c r="W6" s="12" t="s">
        <v>18</v>
      </c>
      <c r="X6" s="11" t="s">
        <v>12</v>
      </c>
      <c r="Y6" s="11" t="s">
        <v>13</v>
      </c>
      <c r="Z6" s="11" t="s">
        <v>14</v>
      </c>
      <c r="AA6" s="11" t="s">
        <v>15</v>
      </c>
      <c r="AB6" s="11" t="s">
        <v>16</v>
      </c>
      <c r="AC6" s="11" t="s">
        <v>17</v>
      </c>
      <c r="AD6" s="11" t="s">
        <v>18</v>
      </c>
      <c r="AE6" s="12" t="s">
        <v>12</v>
      </c>
      <c r="AF6" s="12" t="s">
        <v>13</v>
      </c>
      <c r="AG6" s="12" t="s">
        <v>14</v>
      </c>
      <c r="AH6" s="12" t="s">
        <v>15</v>
      </c>
      <c r="AI6" s="12" t="s">
        <v>16</v>
      </c>
      <c r="AJ6" s="12" t="s">
        <v>17</v>
      </c>
      <c r="AK6" s="12" t="s">
        <v>18</v>
      </c>
      <c r="AL6" s="3"/>
    </row>
    <row r="7">
      <c r="C7" s="12">
        <v>27.0</v>
      </c>
      <c r="D7" s="12">
        <v>28.0</v>
      </c>
      <c r="E7" s="12">
        <v>29.0</v>
      </c>
      <c r="F7" s="12">
        <v>30.0</v>
      </c>
      <c r="G7" s="12">
        <v>1.0</v>
      </c>
      <c r="H7" s="12">
        <v>2.0</v>
      </c>
      <c r="I7" s="12">
        <v>3.0</v>
      </c>
      <c r="J7" s="11">
        <v>4.0</v>
      </c>
      <c r="K7" s="11">
        <v>5.0</v>
      </c>
      <c r="L7" s="11">
        <v>6.0</v>
      </c>
      <c r="M7" s="11">
        <v>7.0</v>
      </c>
      <c r="N7" s="11">
        <v>8.0</v>
      </c>
      <c r="O7" s="11">
        <v>9.0</v>
      </c>
      <c r="P7" s="11">
        <v>10.0</v>
      </c>
      <c r="Q7" s="12">
        <v>11.0</v>
      </c>
      <c r="R7" s="12">
        <v>12.0</v>
      </c>
      <c r="S7" s="12">
        <v>13.0</v>
      </c>
      <c r="T7" s="12">
        <v>14.0</v>
      </c>
      <c r="U7" s="12">
        <v>15.0</v>
      </c>
      <c r="V7" s="12">
        <v>16.0</v>
      </c>
      <c r="W7" s="12">
        <v>17.0</v>
      </c>
      <c r="X7" s="11">
        <v>18.0</v>
      </c>
      <c r="Y7" s="11">
        <v>19.0</v>
      </c>
      <c r="Z7" s="11">
        <v>20.0</v>
      </c>
      <c r="AA7" s="11">
        <v>21.0</v>
      </c>
      <c r="AB7" s="11">
        <v>22.0</v>
      </c>
      <c r="AC7" s="11">
        <v>23.0</v>
      </c>
      <c r="AD7" s="11">
        <v>24.0</v>
      </c>
      <c r="AE7" s="12">
        <v>25.0</v>
      </c>
      <c r="AF7" s="12">
        <v>26.0</v>
      </c>
      <c r="AG7" s="12">
        <v>27.0</v>
      </c>
      <c r="AH7" s="12">
        <v>28.0</v>
      </c>
      <c r="AI7" s="12">
        <v>29.0</v>
      </c>
      <c r="AJ7" s="12">
        <v>30.0</v>
      </c>
      <c r="AK7" s="12">
        <v>31.0</v>
      </c>
      <c r="AL7" s="3"/>
      <c r="AM7" s="14" t="s">
        <v>19</v>
      </c>
      <c r="AN7" s="14" t="s">
        <v>20</v>
      </c>
      <c r="AO7" s="14" t="s">
        <v>21</v>
      </c>
      <c r="AP7" s="14" t="s">
        <v>3</v>
      </c>
    </row>
    <row r="8">
      <c r="A8" s="15">
        <v>1.0</v>
      </c>
      <c r="B8" s="15" t="s">
        <v>22</v>
      </c>
      <c r="C8" s="16" t="b">
        <v>1</v>
      </c>
      <c r="D8" s="16" t="b">
        <v>0</v>
      </c>
      <c r="E8" s="16" t="b">
        <v>0</v>
      </c>
      <c r="F8" s="16" t="b">
        <v>0</v>
      </c>
      <c r="G8" s="16" t="b">
        <v>0</v>
      </c>
      <c r="H8" s="16" t="b">
        <v>0</v>
      </c>
      <c r="I8" s="16" t="b">
        <v>0</v>
      </c>
      <c r="J8" s="17" t="b">
        <v>0</v>
      </c>
      <c r="K8" s="17" t="b">
        <v>0</v>
      </c>
      <c r="L8" s="17" t="b">
        <v>0</v>
      </c>
      <c r="M8" s="17" t="b">
        <v>0</v>
      </c>
      <c r="N8" s="17" t="b">
        <v>0</v>
      </c>
      <c r="O8" s="17" t="b">
        <v>0</v>
      </c>
      <c r="P8" s="17" t="b">
        <v>0</v>
      </c>
      <c r="Q8" s="16" t="b">
        <v>0</v>
      </c>
      <c r="R8" s="16" t="b">
        <v>0</v>
      </c>
      <c r="S8" s="16" t="b">
        <v>0</v>
      </c>
      <c r="T8" s="16" t="b">
        <v>0</v>
      </c>
      <c r="U8" s="16" t="b">
        <v>0</v>
      </c>
      <c r="V8" s="16" t="b">
        <v>0</v>
      </c>
      <c r="W8" s="16" t="b">
        <v>0</v>
      </c>
      <c r="X8" s="17" t="b">
        <v>0</v>
      </c>
      <c r="Y8" s="17" t="b">
        <v>0</v>
      </c>
      <c r="Z8" s="17" t="b">
        <v>0</v>
      </c>
      <c r="AA8" s="17" t="b">
        <v>0</v>
      </c>
      <c r="AB8" s="17" t="b">
        <v>0</v>
      </c>
      <c r="AC8" s="17" t="b">
        <v>0</v>
      </c>
      <c r="AD8" s="17" t="b">
        <v>0</v>
      </c>
      <c r="AE8" s="16" t="b">
        <v>0</v>
      </c>
      <c r="AF8" s="16" t="b">
        <v>0</v>
      </c>
      <c r="AG8" s="16" t="b">
        <v>0</v>
      </c>
      <c r="AH8" s="16" t="b">
        <v>0</v>
      </c>
      <c r="AI8" s="16" t="b">
        <v>0</v>
      </c>
      <c r="AJ8" s="16" t="b">
        <v>0</v>
      </c>
      <c r="AK8" s="16" t="b">
        <v>0</v>
      </c>
      <c r="AL8" s="3"/>
      <c r="AM8" s="18">
        <v>31.0</v>
      </c>
      <c r="AN8" s="18">
        <f t="shared" ref="AN8:AN15" si="1">COUNTIF(C8:AK8, TRUE)</f>
        <v>1</v>
      </c>
      <c r="AO8" s="19">
        <f t="shared" ref="AO8:AO15" si="2">SUM(AN8 / (COUNTA(C8:AK8) * ROWS(C8:AK8)))</f>
        <v>0.02857142857</v>
      </c>
      <c r="AP8" s="20" t="str">
        <f>IFERROR(__xludf.DUMMYFUNCTION("SPARKLINE(AO8, {""charttype"",""bar""; ""max"",1;""color1"",""green""; ""empty"",""zero""})"),"")</f>
        <v/>
      </c>
    </row>
    <row r="9">
      <c r="A9" s="15">
        <v>2.0</v>
      </c>
      <c r="B9" s="15" t="s">
        <v>23</v>
      </c>
      <c r="C9" s="16" t="b">
        <v>0</v>
      </c>
      <c r="D9" s="21" t="b">
        <v>0</v>
      </c>
      <c r="E9" s="16" t="b">
        <v>0</v>
      </c>
      <c r="F9" s="21" t="b">
        <v>0</v>
      </c>
      <c r="G9" s="16" t="b">
        <v>0</v>
      </c>
      <c r="H9" s="21" t="b">
        <v>0</v>
      </c>
      <c r="I9" s="21" t="b">
        <v>0</v>
      </c>
      <c r="J9" s="22" t="b">
        <v>0</v>
      </c>
      <c r="K9" s="22" t="b">
        <v>0</v>
      </c>
      <c r="L9" s="22" t="b">
        <v>0</v>
      </c>
      <c r="M9" s="22" t="b">
        <v>0</v>
      </c>
      <c r="N9" s="22" t="b">
        <v>0</v>
      </c>
      <c r="O9" s="17" t="b">
        <v>0</v>
      </c>
      <c r="P9" s="17" t="b">
        <v>0</v>
      </c>
      <c r="Q9" s="21" t="b">
        <v>0</v>
      </c>
      <c r="R9" s="16" t="b">
        <v>0</v>
      </c>
      <c r="S9" s="16" t="b">
        <v>0</v>
      </c>
      <c r="T9" s="21" t="b">
        <v>0</v>
      </c>
      <c r="U9" s="16" t="b">
        <v>0</v>
      </c>
      <c r="V9" s="16" t="b">
        <v>0</v>
      </c>
      <c r="W9" s="21" t="b">
        <v>0</v>
      </c>
      <c r="X9" s="17" t="b">
        <v>0</v>
      </c>
      <c r="Y9" s="22" t="b">
        <v>0</v>
      </c>
      <c r="Z9" s="22" t="b">
        <v>0</v>
      </c>
      <c r="AA9" s="22" t="b">
        <v>0</v>
      </c>
      <c r="AB9" s="22" t="b">
        <v>0</v>
      </c>
      <c r="AC9" s="22" t="b">
        <v>0</v>
      </c>
      <c r="AD9" s="22" t="b">
        <v>0</v>
      </c>
      <c r="AE9" s="21" t="b">
        <v>0</v>
      </c>
      <c r="AF9" s="21" t="b">
        <v>0</v>
      </c>
      <c r="AG9" s="21" t="b">
        <v>0</v>
      </c>
      <c r="AH9" s="21" t="b">
        <v>0</v>
      </c>
      <c r="AI9" s="21" t="b">
        <v>0</v>
      </c>
      <c r="AJ9" s="16" t="b">
        <v>0</v>
      </c>
      <c r="AK9" s="21" t="b">
        <v>0</v>
      </c>
      <c r="AL9" s="3"/>
      <c r="AM9" s="18">
        <v>31.0</v>
      </c>
      <c r="AN9" s="18">
        <f t="shared" si="1"/>
        <v>0</v>
      </c>
      <c r="AO9" s="19">
        <f t="shared" si="2"/>
        <v>0</v>
      </c>
      <c r="AP9" s="20" t="str">
        <f>IFERROR(__xludf.DUMMYFUNCTION("SPARKLINE(AO9, {""charttype"",""bar""; ""max"",1;""color1"",""green""; ""empty"",""zero""})"),"")</f>
        <v/>
      </c>
    </row>
    <row r="10">
      <c r="A10" s="15">
        <v>3.0</v>
      </c>
      <c r="B10" s="15" t="s">
        <v>24</v>
      </c>
      <c r="C10" s="16" t="b">
        <v>0</v>
      </c>
      <c r="D10" s="21" t="b">
        <v>0</v>
      </c>
      <c r="E10" s="16" t="b">
        <v>0</v>
      </c>
      <c r="F10" s="21" t="b">
        <v>0</v>
      </c>
      <c r="G10" s="16" t="b">
        <v>0</v>
      </c>
      <c r="H10" s="21" t="b">
        <v>0</v>
      </c>
      <c r="I10" s="16" t="b">
        <v>0</v>
      </c>
      <c r="J10" s="22" t="b">
        <v>0</v>
      </c>
      <c r="K10" s="22" t="b">
        <v>0</v>
      </c>
      <c r="L10" s="22" t="b">
        <v>0</v>
      </c>
      <c r="M10" s="22" t="b">
        <v>0</v>
      </c>
      <c r="N10" s="22" t="b">
        <v>0</v>
      </c>
      <c r="O10" s="22" t="b">
        <v>0</v>
      </c>
      <c r="P10" s="17" t="b">
        <v>0</v>
      </c>
      <c r="Q10" s="21" t="b">
        <v>0</v>
      </c>
      <c r="R10" s="21" t="b">
        <v>0</v>
      </c>
      <c r="S10" s="16" t="b">
        <v>0</v>
      </c>
      <c r="T10" s="21" t="b">
        <v>0</v>
      </c>
      <c r="U10" s="16" t="b">
        <v>0</v>
      </c>
      <c r="V10" s="16" t="b">
        <v>0</v>
      </c>
      <c r="W10" s="21" t="b">
        <v>0</v>
      </c>
      <c r="X10" s="17" t="b">
        <v>0</v>
      </c>
      <c r="Y10" s="22" t="b">
        <v>0</v>
      </c>
      <c r="Z10" s="22" t="b">
        <v>0</v>
      </c>
      <c r="AA10" s="22" t="b">
        <v>0</v>
      </c>
      <c r="AB10" s="22" t="b">
        <v>0</v>
      </c>
      <c r="AC10" s="22" t="b">
        <v>0</v>
      </c>
      <c r="AD10" s="22" t="b">
        <v>0</v>
      </c>
      <c r="AE10" s="21" t="b">
        <v>0</v>
      </c>
      <c r="AF10" s="21" t="b">
        <v>0</v>
      </c>
      <c r="AG10" s="21" t="b">
        <v>0</v>
      </c>
      <c r="AH10" s="21" t="b">
        <v>0</v>
      </c>
      <c r="AI10" s="16" t="b">
        <v>0</v>
      </c>
      <c r="AJ10" s="16" t="b">
        <v>0</v>
      </c>
      <c r="AK10" s="21" t="b">
        <v>0</v>
      </c>
      <c r="AM10" s="18">
        <v>31.0</v>
      </c>
      <c r="AN10" s="18">
        <f t="shared" si="1"/>
        <v>0</v>
      </c>
      <c r="AO10" s="19">
        <f t="shared" si="2"/>
        <v>0</v>
      </c>
      <c r="AP10" s="20" t="str">
        <f>IFERROR(__xludf.DUMMYFUNCTION("SPARKLINE(AO10, {""charttype"",""bar""; ""max"",1;""color1"",""green""; ""empty"",""zero""})"),"")</f>
        <v/>
      </c>
    </row>
    <row r="11">
      <c r="A11" s="15">
        <v>4.0</v>
      </c>
      <c r="B11" s="15" t="s">
        <v>25</v>
      </c>
      <c r="C11" s="16" t="b">
        <v>0</v>
      </c>
      <c r="D11" s="16" t="b">
        <v>0</v>
      </c>
      <c r="E11" s="16" t="b">
        <v>0</v>
      </c>
      <c r="F11" s="16" t="b">
        <v>0</v>
      </c>
      <c r="G11" s="16" t="b">
        <v>0</v>
      </c>
      <c r="H11" s="16" t="b">
        <v>0</v>
      </c>
      <c r="I11" s="16" t="b">
        <v>0</v>
      </c>
      <c r="J11" s="22" t="b">
        <v>0</v>
      </c>
      <c r="K11" s="22" t="b">
        <v>0</v>
      </c>
      <c r="L11" s="22" t="b">
        <v>0</v>
      </c>
      <c r="M11" s="22" t="b">
        <v>0</v>
      </c>
      <c r="N11" s="17" t="b">
        <v>0</v>
      </c>
      <c r="O11" s="22" t="b">
        <v>0</v>
      </c>
      <c r="P11" s="22" t="b">
        <v>0</v>
      </c>
      <c r="Q11" s="21" t="b">
        <v>0</v>
      </c>
      <c r="R11" s="16" t="b">
        <v>0</v>
      </c>
      <c r="S11" s="16" t="b">
        <v>0</v>
      </c>
      <c r="T11" s="21" t="b">
        <v>0</v>
      </c>
      <c r="U11" s="16" t="b">
        <v>0</v>
      </c>
      <c r="V11" s="16" t="b">
        <v>0</v>
      </c>
      <c r="W11" s="21" t="b">
        <v>0</v>
      </c>
      <c r="X11" s="17" t="b">
        <v>0</v>
      </c>
      <c r="Y11" s="22" t="b">
        <v>0</v>
      </c>
      <c r="Z11" s="22" t="b">
        <v>0</v>
      </c>
      <c r="AA11" s="22" t="b">
        <v>0</v>
      </c>
      <c r="AB11" s="22" t="b">
        <v>0</v>
      </c>
      <c r="AC11" s="22" t="b">
        <v>0</v>
      </c>
      <c r="AD11" s="22" t="b">
        <v>0</v>
      </c>
      <c r="AE11" s="21" t="b">
        <v>0</v>
      </c>
      <c r="AF11" s="21" t="b">
        <v>0</v>
      </c>
      <c r="AG11" s="21" t="b">
        <v>0</v>
      </c>
      <c r="AH11" s="21" t="b">
        <v>0</v>
      </c>
      <c r="AI11" s="16" t="b">
        <v>0</v>
      </c>
      <c r="AJ11" s="21" t="b">
        <v>0</v>
      </c>
      <c r="AK11" s="21" t="b">
        <v>0</v>
      </c>
      <c r="AM11" s="18">
        <v>31.0</v>
      </c>
      <c r="AN11" s="18">
        <f t="shared" si="1"/>
        <v>0</v>
      </c>
      <c r="AO11" s="19">
        <f t="shared" si="2"/>
        <v>0</v>
      </c>
      <c r="AP11" s="20" t="str">
        <f>IFERROR(__xludf.DUMMYFUNCTION("SPARKLINE(AO11, {""charttype"",""bar""; ""max"",1;""color1"",""green""; ""empty"",""zero""})"),"")</f>
        <v/>
      </c>
    </row>
    <row r="12">
      <c r="A12" s="15">
        <v>5.0</v>
      </c>
      <c r="B12" s="15" t="s">
        <v>26</v>
      </c>
      <c r="C12" s="16" t="b">
        <v>0</v>
      </c>
      <c r="D12" s="16" t="b">
        <v>0</v>
      </c>
      <c r="E12" s="21" t="b">
        <v>0</v>
      </c>
      <c r="F12" s="21" t="b">
        <v>0</v>
      </c>
      <c r="G12" s="16" t="b">
        <v>0</v>
      </c>
      <c r="H12" s="16" t="b">
        <v>0</v>
      </c>
      <c r="I12" s="16" t="b">
        <v>0</v>
      </c>
      <c r="J12" s="22" t="b">
        <v>0</v>
      </c>
      <c r="K12" s="22" t="b">
        <v>0</v>
      </c>
      <c r="L12" s="17" t="b">
        <v>0</v>
      </c>
      <c r="M12" s="17" t="b">
        <v>0</v>
      </c>
      <c r="N12" s="17" t="b">
        <v>0</v>
      </c>
      <c r="O12" s="22" t="b">
        <v>0</v>
      </c>
      <c r="P12" s="22" t="b">
        <v>0</v>
      </c>
      <c r="Q12" s="16" t="b">
        <v>0</v>
      </c>
      <c r="R12" s="16" t="b">
        <v>0</v>
      </c>
      <c r="S12" s="21" t="b">
        <v>0</v>
      </c>
      <c r="T12" s="21" t="b">
        <v>0</v>
      </c>
      <c r="U12" s="16" t="b">
        <v>0</v>
      </c>
      <c r="V12" s="16" t="b">
        <v>0</v>
      </c>
      <c r="W12" s="21" t="b">
        <v>0</v>
      </c>
      <c r="X12" s="17" t="b">
        <v>0</v>
      </c>
      <c r="Y12" s="22" t="b">
        <v>0</v>
      </c>
      <c r="Z12" s="22" t="b">
        <v>0</v>
      </c>
      <c r="AA12" s="22" t="b">
        <v>0</v>
      </c>
      <c r="AB12" s="22" t="b">
        <v>0</v>
      </c>
      <c r="AC12" s="22" t="b">
        <v>0</v>
      </c>
      <c r="AD12" s="22" t="b">
        <v>0</v>
      </c>
      <c r="AE12" s="21" t="b">
        <v>0</v>
      </c>
      <c r="AF12" s="21" t="b">
        <v>0</v>
      </c>
      <c r="AG12" s="21" t="b">
        <v>0</v>
      </c>
      <c r="AH12" s="21" t="b">
        <v>0</v>
      </c>
      <c r="AI12" s="21" t="b">
        <v>0</v>
      </c>
      <c r="AJ12" s="21" t="b">
        <v>0</v>
      </c>
      <c r="AK12" s="21" t="b">
        <v>0</v>
      </c>
      <c r="AM12" s="18">
        <v>31.0</v>
      </c>
      <c r="AN12" s="18">
        <f t="shared" si="1"/>
        <v>0</v>
      </c>
      <c r="AO12" s="19">
        <f t="shared" si="2"/>
        <v>0</v>
      </c>
      <c r="AP12" s="20" t="str">
        <f>IFERROR(__xludf.DUMMYFUNCTION("SPARKLINE(AO12, {""charttype"",""bar""; ""max"",1;""color1"",""green""; ""empty"",""zero""})"),"")</f>
        <v/>
      </c>
    </row>
    <row r="13">
      <c r="A13" s="15">
        <v>6.0</v>
      </c>
      <c r="B13" s="15" t="s">
        <v>27</v>
      </c>
      <c r="C13" s="16" t="b">
        <v>0</v>
      </c>
      <c r="D13" s="21" t="b">
        <v>0</v>
      </c>
      <c r="E13" s="21" t="b">
        <v>0</v>
      </c>
      <c r="F13" s="21" t="b">
        <v>0</v>
      </c>
      <c r="G13" s="21" t="b">
        <v>0</v>
      </c>
      <c r="H13" s="21" t="b">
        <v>0</v>
      </c>
      <c r="I13" s="16" t="b">
        <v>0</v>
      </c>
      <c r="J13" s="17" t="b">
        <v>0</v>
      </c>
      <c r="K13" s="22" t="b">
        <v>0</v>
      </c>
      <c r="L13" s="22" t="b">
        <v>0</v>
      </c>
      <c r="M13" s="22" t="b">
        <v>0</v>
      </c>
      <c r="N13" s="17" t="b">
        <v>0</v>
      </c>
      <c r="O13" s="22" t="b">
        <v>0</v>
      </c>
      <c r="P13" s="22" t="b">
        <v>0</v>
      </c>
      <c r="Q13" s="21" t="b">
        <v>0</v>
      </c>
      <c r="R13" s="16" t="b">
        <v>0</v>
      </c>
      <c r="S13" s="21" t="b">
        <v>0</v>
      </c>
      <c r="T13" s="21" t="b">
        <v>0</v>
      </c>
      <c r="U13" s="16" t="b">
        <v>0</v>
      </c>
      <c r="V13" s="16" t="b">
        <v>0</v>
      </c>
      <c r="W13" s="21" t="b">
        <v>0</v>
      </c>
      <c r="X13" s="17" t="b">
        <v>0</v>
      </c>
      <c r="Y13" s="22" t="b">
        <v>0</v>
      </c>
      <c r="Z13" s="22" t="b">
        <v>0</v>
      </c>
      <c r="AA13" s="22" t="b">
        <v>0</v>
      </c>
      <c r="AB13" s="22" t="b">
        <v>0</v>
      </c>
      <c r="AC13" s="17" t="b">
        <v>0</v>
      </c>
      <c r="AD13" s="22" t="b">
        <v>0</v>
      </c>
      <c r="AE13" s="21" t="b">
        <v>0</v>
      </c>
      <c r="AF13" s="21" t="b">
        <v>0</v>
      </c>
      <c r="AG13" s="21" t="b">
        <v>0</v>
      </c>
      <c r="AH13" s="21" t="b">
        <v>0</v>
      </c>
      <c r="AI13" s="21" t="b">
        <v>0</v>
      </c>
      <c r="AJ13" s="21" t="b">
        <v>0</v>
      </c>
      <c r="AK13" s="21" t="b">
        <v>0</v>
      </c>
      <c r="AM13" s="18">
        <v>31.0</v>
      </c>
      <c r="AN13" s="18">
        <f t="shared" si="1"/>
        <v>0</v>
      </c>
      <c r="AO13" s="19">
        <f t="shared" si="2"/>
        <v>0</v>
      </c>
      <c r="AP13" s="20" t="str">
        <f>IFERROR(__xludf.DUMMYFUNCTION("SPARKLINE(AO13, {""charttype"",""bar""; ""max"",1;""color1"",""green""; ""empty"",""zero""})"),"")</f>
        <v/>
      </c>
    </row>
    <row r="14">
      <c r="A14" s="15">
        <v>7.0</v>
      </c>
      <c r="B14" s="15" t="s">
        <v>28</v>
      </c>
      <c r="C14" s="16" t="b">
        <v>0</v>
      </c>
      <c r="D14" s="16" t="b">
        <v>0</v>
      </c>
      <c r="E14" s="21" t="b">
        <v>0</v>
      </c>
      <c r="F14" s="21" t="b">
        <v>0</v>
      </c>
      <c r="G14" s="16" t="b">
        <v>0</v>
      </c>
      <c r="H14" s="21" t="b">
        <v>0</v>
      </c>
      <c r="I14" s="21" t="b">
        <v>0</v>
      </c>
      <c r="J14" s="17" t="b">
        <v>0</v>
      </c>
      <c r="K14" s="22" t="b">
        <v>0</v>
      </c>
      <c r="L14" s="17" t="b">
        <v>0</v>
      </c>
      <c r="M14" s="17" t="b">
        <v>0</v>
      </c>
      <c r="N14" s="22" t="b">
        <v>0</v>
      </c>
      <c r="O14" s="22" t="b">
        <v>0</v>
      </c>
      <c r="P14" s="22" t="b">
        <v>0</v>
      </c>
      <c r="Q14" s="21" t="b">
        <v>0</v>
      </c>
      <c r="R14" s="16" t="b">
        <v>0</v>
      </c>
      <c r="S14" s="21" t="b">
        <v>0</v>
      </c>
      <c r="T14" s="21" t="b">
        <v>0</v>
      </c>
      <c r="U14" s="16" t="b">
        <v>0</v>
      </c>
      <c r="V14" s="16" t="b">
        <v>0</v>
      </c>
      <c r="W14" s="21" t="b">
        <v>0</v>
      </c>
      <c r="X14" s="17" t="b">
        <v>0</v>
      </c>
      <c r="Y14" s="22" t="b">
        <v>0</v>
      </c>
      <c r="Z14" s="22" t="b">
        <v>0</v>
      </c>
      <c r="AA14" s="22" t="b">
        <v>0</v>
      </c>
      <c r="AB14" s="22" t="b">
        <v>0</v>
      </c>
      <c r="AC14" s="17" t="b">
        <v>0</v>
      </c>
      <c r="AD14" s="22" t="b">
        <v>0</v>
      </c>
      <c r="AE14" s="21" t="b">
        <v>0</v>
      </c>
      <c r="AF14" s="21" t="b">
        <v>0</v>
      </c>
      <c r="AG14" s="16" t="b">
        <v>0</v>
      </c>
      <c r="AH14" s="21" t="b">
        <v>0</v>
      </c>
      <c r="AI14" s="21" t="b">
        <v>0</v>
      </c>
      <c r="AJ14" s="21" t="b">
        <v>0</v>
      </c>
      <c r="AK14" s="16" t="b">
        <v>0</v>
      </c>
      <c r="AM14" s="18">
        <v>31.0</v>
      </c>
      <c r="AN14" s="18">
        <f t="shared" si="1"/>
        <v>0</v>
      </c>
      <c r="AO14" s="19">
        <f t="shared" si="2"/>
        <v>0</v>
      </c>
      <c r="AP14" s="20" t="str">
        <f>IFERROR(__xludf.DUMMYFUNCTION("SPARKLINE(AO14, {""charttype"",""bar""; ""max"",1;""color1"",""green""; ""empty"",""zero""})"),"")</f>
        <v/>
      </c>
    </row>
    <row r="15">
      <c r="A15" s="15">
        <v>8.0</v>
      </c>
      <c r="B15" s="15" t="s">
        <v>29</v>
      </c>
      <c r="C15" s="16" t="b">
        <v>0</v>
      </c>
      <c r="D15" s="21" t="b">
        <v>0</v>
      </c>
      <c r="E15" s="21" t="b">
        <v>0</v>
      </c>
      <c r="F15" s="16" t="b">
        <v>0</v>
      </c>
      <c r="G15" s="21" t="b">
        <v>0</v>
      </c>
      <c r="H15" s="16" t="b">
        <v>0</v>
      </c>
      <c r="I15" s="21" t="b">
        <v>0</v>
      </c>
      <c r="J15" s="17" t="b">
        <v>0</v>
      </c>
      <c r="K15" s="22" t="b">
        <v>0</v>
      </c>
      <c r="L15" s="22" t="b">
        <v>0</v>
      </c>
      <c r="M15" s="17" t="b">
        <v>0</v>
      </c>
      <c r="N15" s="22" t="b">
        <v>0</v>
      </c>
      <c r="O15" s="22" t="b">
        <v>0</v>
      </c>
      <c r="P15" s="22" t="b">
        <v>0</v>
      </c>
      <c r="Q15" s="21" t="b">
        <v>0</v>
      </c>
      <c r="R15" s="16" t="b">
        <v>0</v>
      </c>
      <c r="S15" s="21" t="b">
        <v>0</v>
      </c>
      <c r="T15" s="21" t="b">
        <v>0</v>
      </c>
      <c r="U15" s="16" t="b">
        <v>0</v>
      </c>
      <c r="V15" s="16" t="b">
        <v>0</v>
      </c>
      <c r="W15" s="21" t="b">
        <v>0</v>
      </c>
      <c r="X15" s="17" t="b">
        <v>0</v>
      </c>
      <c r="Y15" s="22" t="b">
        <v>0</v>
      </c>
      <c r="Z15" s="22" t="b">
        <v>0</v>
      </c>
      <c r="AA15" s="22" t="b">
        <v>0</v>
      </c>
      <c r="AB15" s="22" t="b">
        <v>0</v>
      </c>
      <c r="AC15" s="17" t="b">
        <v>0</v>
      </c>
      <c r="AD15" s="22" t="b">
        <v>0</v>
      </c>
      <c r="AE15" s="21" t="b">
        <v>0</v>
      </c>
      <c r="AF15" s="21" t="b">
        <v>0</v>
      </c>
      <c r="AG15" s="16" t="b">
        <v>0</v>
      </c>
      <c r="AH15" s="21" t="b">
        <v>0</v>
      </c>
      <c r="AI15" s="21" t="b">
        <v>0</v>
      </c>
      <c r="AJ15" s="16" t="b">
        <v>0</v>
      </c>
      <c r="AK15" s="16" t="b">
        <v>0</v>
      </c>
      <c r="AM15" s="18">
        <v>31.0</v>
      </c>
      <c r="AN15" s="18">
        <f t="shared" si="1"/>
        <v>0</v>
      </c>
      <c r="AO15" s="19">
        <f t="shared" si="2"/>
        <v>0</v>
      </c>
      <c r="AP15" s="20" t="str">
        <f>IFERROR(__xludf.DUMMYFUNCTION("SPARKLINE(AO15, {""charttype"",""bar""; ""max"",1;""color1"",""green""; ""empty"",""zero""})"),"")</f>
        <v/>
      </c>
    </row>
    <row r="17">
      <c r="A17" s="23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>
      <c r="A18" s="15" t="s">
        <v>3</v>
      </c>
      <c r="C18" s="25">
        <f t="shared" ref="C18:AG18" si="3">IF(COUNTA(C8:C12)=0, 0, COUNTIF(C8:C12, TRUE)/COUNTA(C8:C12))</f>
        <v>0.2</v>
      </c>
      <c r="D18" s="25">
        <f t="shared" si="3"/>
        <v>0</v>
      </c>
      <c r="E18" s="25">
        <f t="shared" si="3"/>
        <v>0</v>
      </c>
      <c r="F18" s="25">
        <f t="shared" si="3"/>
        <v>0</v>
      </c>
      <c r="G18" s="25">
        <f t="shared" si="3"/>
        <v>0</v>
      </c>
      <c r="H18" s="25">
        <f t="shared" si="3"/>
        <v>0</v>
      </c>
      <c r="I18" s="25">
        <f t="shared" si="3"/>
        <v>0</v>
      </c>
      <c r="J18" s="25">
        <f t="shared" si="3"/>
        <v>0</v>
      </c>
      <c r="K18" s="25">
        <f t="shared" si="3"/>
        <v>0</v>
      </c>
      <c r="L18" s="25">
        <f t="shared" si="3"/>
        <v>0</v>
      </c>
      <c r="M18" s="25">
        <f t="shared" si="3"/>
        <v>0</v>
      </c>
      <c r="N18" s="25">
        <f t="shared" si="3"/>
        <v>0</v>
      </c>
      <c r="O18" s="25">
        <f t="shared" si="3"/>
        <v>0</v>
      </c>
      <c r="P18" s="25">
        <f t="shared" si="3"/>
        <v>0</v>
      </c>
      <c r="Q18" s="25">
        <f t="shared" si="3"/>
        <v>0</v>
      </c>
      <c r="R18" s="25">
        <f t="shared" si="3"/>
        <v>0</v>
      </c>
      <c r="S18" s="25">
        <f t="shared" si="3"/>
        <v>0</v>
      </c>
      <c r="T18" s="25">
        <f t="shared" si="3"/>
        <v>0</v>
      </c>
      <c r="U18" s="25">
        <f t="shared" si="3"/>
        <v>0</v>
      </c>
      <c r="V18" s="25">
        <f t="shared" si="3"/>
        <v>0</v>
      </c>
      <c r="W18" s="25">
        <f t="shared" si="3"/>
        <v>0</v>
      </c>
      <c r="X18" s="25">
        <f t="shared" si="3"/>
        <v>0</v>
      </c>
      <c r="Y18" s="25">
        <f t="shared" si="3"/>
        <v>0</v>
      </c>
      <c r="Z18" s="25">
        <f t="shared" si="3"/>
        <v>0</v>
      </c>
      <c r="AA18" s="25">
        <f t="shared" si="3"/>
        <v>0</v>
      </c>
      <c r="AB18" s="25">
        <f t="shared" si="3"/>
        <v>0</v>
      </c>
      <c r="AC18" s="25">
        <f t="shared" si="3"/>
        <v>0</v>
      </c>
      <c r="AD18" s="25">
        <f t="shared" si="3"/>
        <v>0</v>
      </c>
      <c r="AE18" s="25">
        <f t="shared" si="3"/>
        <v>0</v>
      </c>
      <c r="AF18" s="25">
        <f t="shared" si="3"/>
        <v>0</v>
      </c>
      <c r="AG18" s="25">
        <f t="shared" si="3"/>
        <v>0</v>
      </c>
      <c r="AH18" s="3"/>
      <c r="AI18" s="3"/>
      <c r="AJ18" s="3"/>
      <c r="AK18" s="3"/>
      <c r="AL18" s="3"/>
      <c r="AM18" s="11" t="s">
        <v>30</v>
      </c>
    </row>
    <row r="19">
      <c r="A19" s="15" t="s">
        <v>31</v>
      </c>
      <c r="C19" s="26">
        <f t="shared" ref="C19:AG19" si="4">COUNTIF(C8:C12, TRUE)</f>
        <v>1</v>
      </c>
      <c r="D19" s="26">
        <f t="shared" si="4"/>
        <v>0</v>
      </c>
      <c r="E19" s="26">
        <f t="shared" si="4"/>
        <v>0</v>
      </c>
      <c r="F19" s="26">
        <f t="shared" si="4"/>
        <v>0</v>
      </c>
      <c r="G19" s="26">
        <f t="shared" si="4"/>
        <v>0</v>
      </c>
      <c r="H19" s="26">
        <f t="shared" si="4"/>
        <v>0</v>
      </c>
      <c r="I19" s="26">
        <f t="shared" si="4"/>
        <v>0</v>
      </c>
      <c r="J19" s="26">
        <f t="shared" si="4"/>
        <v>0</v>
      </c>
      <c r="K19" s="26">
        <f t="shared" si="4"/>
        <v>0</v>
      </c>
      <c r="L19" s="26">
        <f t="shared" si="4"/>
        <v>0</v>
      </c>
      <c r="M19" s="26">
        <f t="shared" si="4"/>
        <v>0</v>
      </c>
      <c r="N19" s="26">
        <f t="shared" si="4"/>
        <v>0</v>
      </c>
      <c r="O19" s="26">
        <f t="shared" si="4"/>
        <v>0</v>
      </c>
      <c r="P19" s="26">
        <f t="shared" si="4"/>
        <v>0</v>
      </c>
      <c r="Q19" s="26">
        <f t="shared" si="4"/>
        <v>0</v>
      </c>
      <c r="R19" s="26">
        <f t="shared" si="4"/>
        <v>0</v>
      </c>
      <c r="S19" s="26">
        <f t="shared" si="4"/>
        <v>0</v>
      </c>
      <c r="T19" s="26">
        <f t="shared" si="4"/>
        <v>0</v>
      </c>
      <c r="U19" s="26">
        <f t="shared" si="4"/>
        <v>0</v>
      </c>
      <c r="V19" s="26">
        <f t="shared" si="4"/>
        <v>0</v>
      </c>
      <c r="W19" s="26">
        <f t="shared" si="4"/>
        <v>0</v>
      </c>
      <c r="X19" s="26">
        <f t="shared" si="4"/>
        <v>0</v>
      </c>
      <c r="Y19" s="26">
        <f t="shared" si="4"/>
        <v>0</v>
      </c>
      <c r="Z19" s="26">
        <f t="shared" si="4"/>
        <v>0</v>
      </c>
      <c r="AA19" s="26">
        <f t="shared" si="4"/>
        <v>0</v>
      </c>
      <c r="AB19" s="26">
        <f t="shared" si="4"/>
        <v>0</v>
      </c>
      <c r="AC19" s="26">
        <f t="shared" si="4"/>
        <v>0</v>
      </c>
      <c r="AD19" s="26">
        <f t="shared" si="4"/>
        <v>0</v>
      </c>
      <c r="AE19" s="26">
        <f t="shared" si="4"/>
        <v>0</v>
      </c>
      <c r="AF19" s="26">
        <f t="shared" si="4"/>
        <v>0</v>
      </c>
      <c r="AG19" s="26">
        <f t="shared" si="4"/>
        <v>0</v>
      </c>
      <c r="AH19" s="3"/>
      <c r="AI19" s="3"/>
      <c r="AJ19" s="3"/>
      <c r="AK19" s="3"/>
      <c r="AL19" s="3"/>
      <c r="AM19" s="27" t="s">
        <v>32</v>
      </c>
    </row>
    <row r="20">
      <c r="A20" s="15" t="s">
        <v>33</v>
      </c>
      <c r="C20" s="26">
        <f t="shared" ref="C20:AG20" si="5">COUNTIF(C8:C12, FALSE)</f>
        <v>4</v>
      </c>
      <c r="D20" s="26">
        <f t="shared" si="5"/>
        <v>5</v>
      </c>
      <c r="E20" s="26">
        <f t="shared" si="5"/>
        <v>5</v>
      </c>
      <c r="F20" s="26">
        <f t="shared" si="5"/>
        <v>5</v>
      </c>
      <c r="G20" s="26">
        <f t="shared" si="5"/>
        <v>5</v>
      </c>
      <c r="H20" s="26">
        <f t="shared" si="5"/>
        <v>5</v>
      </c>
      <c r="I20" s="26">
        <f t="shared" si="5"/>
        <v>5</v>
      </c>
      <c r="J20" s="26">
        <f t="shared" si="5"/>
        <v>5</v>
      </c>
      <c r="K20" s="26">
        <f t="shared" si="5"/>
        <v>5</v>
      </c>
      <c r="L20" s="26">
        <f t="shared" si="5"/>
        <v>5</v>
      </c>
      <c r="M20" s="26">
        <f t="shared" si="5"/>
        <v>5</v>
      </c>
      <c r="N20" s="26">
        <f t="shared" si="5"/>
        <v>5</v>
      </c>
      <c r="O20" s="26">
        <f t="shared" si="5"/>
        <v>5</v>
      </c>
      <c r="P20" s="26">
        <f t="shared" si="5"/>
        <v>5</v>
      </c>
      <c r="Q20" s="26">
        <f t="shared" si="5"/>
        <v>5</v>
      </c>
      <c r="R20" s="26">
        <f t="shared" si="5"/>
        <v>5</v>
      </c>
      <c r="S20" s="26">
        <f t="shared" si="5"/>
        <v>5</v>
      </c>
      <c r="T20" s="26">
        <f t="shared" si="5"/>
        <v>5</v>
      </c>
      <c r="U20" s="26">
        <f t="shared" si="5"/>
        <v>5</v>
      </c>
      <c r="V20" s="26">
        <f t="shared" si="5"/>
        <v>5</v>
      </c>
      <c r="W20" s="26">
        <f t="shared" si="5"/>
        <v>5</v>
      </c>
      <c r="X20" s="26">
        <f t="shared" si="5"/>
        <v>5</v>
      </c>
      <c r="Y20" s="26">
        <f t="shared" si="5"/>
        <v>5</v>
      </c>
      <c r="Z20" s="26">
        <f t="shared" si="5"/>
        <v>5</v>
      </c>
      <c r="AA20" s="26">
        <f t="shared" si="5"/>
        <v>5</v>
      </c>
      <c r="AB20" s="26">
        <f t="shared" si="5"/>
        <v>5</v>
      </c>
      <c r="AC20" s="26">
        <f t="shared" si="5"/>
        <v>5</v>
      </c>
      <c r="AD20" s="26">
        <f t="shared" si="5"/>
        <v>5</v>
      </c>
      <c r="AE20" s="26">
        <f t="shared" si="5"/>
        <v>5</v>
      </c>
      <c r="AF20" s="26">
        <f t="shared" si="5"/>
        <v>5</v>
      </c>
      <c r="AG20" s="26">
        <f t="shared" si="5"/>
        <v>5</v>
      </c>
      <c r="AH20" s="3"/>
      <c r="AI20" s="3"/>
      <c r="AJ20" s="3"/>
      <c r="AK20" s="3"/>
      <c r="AL20" s="3"/>
    </row>
    <row r="21">
      <c r="AD21" s="28"/>
      <c r="AE21" s="28"/>
      <c r="AF21" s="28"/>
      <c r="AG21" s="28"/>
      <c r="AH21" s="28"/>
      <c r="AI21" s="3"/>
      <c r="AJ21" s="3"/>
      <c r="AK21" s="3"/>
      <c r="AL21" s="3"/>
    </row>
    <row r="22">
      <c r="AD22" s="28"/>
      <c r="AE22" s="28"/>
      <c r="AF22" s="28"/>
      <c r="AG22" s="28"/>
      <c r="AH22" s="28"/>
      <c r="AI22" s="3"/>
      <c r="AJ22" s="3"/>
      <c r="AK22" s="3"/>
      <c r="AL22" s="3"/>
    </row>
    <row r="23">
      <c r="AI23" s="3"/>
      <c r="AJ23" s="3"/>
      <c r="AK23" s="3"/>
      <c r="AL23" s="3"/>
    </row>
    <row r="24">
      <c r="AI24" s="3"/>
      <c r="AJ24" s="3"/>
      <c r="AK24" s="3"/>
      <c r="AL24" s="3"/>
    </row>
    <row r="25">
      <c r="AI25" s="3"/>
      <c r="AJ25" s="3"/>
      <c r="AK25" s="3"/>
      <c r="AL25" s="3"/>
    </row>
    <row r="26">
      <c r="AD26" s="28"/>
      <c r="AE26" s="28"/>
      <c r="AF26" s="28"/>
      <c r="AG26" s="28"/>
      <c r="AH26" s="28"/>
      <c r="AI26" s="3"/>
      <c r="AJ26" s="3"/>
      <c r="AK26" s="3"/>
      <c r="AL26" s="3"/>
    </row>
    <row r="27"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</row>
    <row r="28"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</row>
    <row r="29">
      <c r="AD29" s="28"/>
      <c r="AE29" s="28"/>
      <c r="AF29" s="28"/>
      <c r="AG29" s="28"/>
      <c r="AH29" s="28"/>
      <c r="AM29" s="28"/>
      <c r="AN29" s="28"/>
      <c r="AO29" s="28"/>
      <c r="AP29" s="28"/>
    </row>
    <row r="30">
      <c r="AM30" s="28"/>
      <c r="AN30" s="28"/>
      <c r="AO30" s="28"/>
      <c r="AP30" s="28"/>
    </row>
    <row r="31">
      <c r="AM31" s="28"/>
      <c r="AN31" s="28"/>
      <c r="AO31" s="28"/>
      <c r="AP31" s="28"/>
    </row>
    <row r="32"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</row>
    <row r="33"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</row>
    <row r="34"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</row>
    <row r="35"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</row>
    <row r="36"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</row>
    <row r="37"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</row>
    <row r="38"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</row>
    <row r="39"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</row>
    <row r="40"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</row>
    <row r="41"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</row>
    <row r="42"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</row>
    <row r="43"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</row>
    <row r="44"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</row>
    <row r="45"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</row>
    <row r="46"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</row>
    <row r="47"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</row>
    <row r="48"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</row>
    <row r="49"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</row>
    <row r="50"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</row>
    <row r="51"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</row>
    <row r="52"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</row>
    <row r="53"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</row>
    <row r="54"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</row>
    <row r="55"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</row>
    <row r="56"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</row>
    <row r="57"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</row>
    <row r="58"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</row>
    <row r="59"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</row>
    <row r="60"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</row>
    <row r="61"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</row>
    <row r="62"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</row>
    <row r="63"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</row>
    <row r="64"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</row>
    <row r="65">
      <c r="J65" s="15" t="s">
        <v>27</v>
      </c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</row>
    <row r="66">
      <c r="J66" s="15" t="s">
        <v>25</v>
      </c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</row>
    <row r="67">
      <c r="J67" s="15" t="s">
        <v>34</v>
      </c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</row>
    <row r="68">
      <c r="J68" s="15" t="s">
        <v>26</v>
      </c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</row>
    <row r="69"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</row>
    <row r="70"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</row>
    <row r="71"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</row>
    <row r="72"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</row>
    <row r="73"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</row>
    <row r="74"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</row>
    <row r="75"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</row>
    <row r="76"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</row>
    <row r="77"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</row>
    <row r="78"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</row>
    <row r="79"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</row>
    <row r="80"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</row>
    <row r="81"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</row>
    <row r="82"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</row>
    <row r="83"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</row>
    <row r="84"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</row>
    <row r="85"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</row>
    <row r="86"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</row>
    <row r="87"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</row>
    <row r="88"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</row>
    <row r="89"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</row>
    <row r="90"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</row>
    <row r="91"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</row>
    <row r="92"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</row>
    <row r="93"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</row>
    <row r="94"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</row>
    <row r="95"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</row>
    <row r="96"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</row>
    <row r="97"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</row>
    <row r="98"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</row>
    <row r="99"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</row>
    <row r="100"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</row>
    <row r="101"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</row>
    <row r="102"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</row>
    <row r="103"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</row>
    <row r="104"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</row>
    <row r="105"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</row>
    <row r="106"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</row>
    <row r="107"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</row>
    <row r="108"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</row>
    <row r="109"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</row>
    <row r="110"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</row>
    <row r="111"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</row>
    <row r="112"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</row>
    <row r="113"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</row>
    <row r="114"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</row>
    <row r="115"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</row>
    <row r="116"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</row>
    <row r="117"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</row>
    <row r="118"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</row>
    <row r="119"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</row>
    <row r="120"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</row>
    <row r="121"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</row>
    <row r="122"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</row>
    <row r="123"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</row>
    <row r="124"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</row>
    <row r="125"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</row>
    <row r="126"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</row>
    <row r="127"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</row>
    <row r="128"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</row>
    <row r="129"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</row>
    <row r="130"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</row>
    <row r="131"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</row>
    <row r="132"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</row>
    <row r="133"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</row>
    <row r="134"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</row>
    <row r="135"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</row>
    <row r="136"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</row>
    <row r="137"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</row>
    <row r="138"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</row>
    <row r="139"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</row>
    <row r="140"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</row>
    <row r="141"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</row>
    <row r="142"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</row>
    <row r="143"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</row>
    <row r="144"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</row>
    <row r="145"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</row>
    <row r="146"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</row>
    <row r="147"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</row>
    <row r="148"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</row>
    <row r="149"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</row>
    <row r="150"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</row>
    <row r="151"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</row>
    <row r="152"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</row>
    <row r="153"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</row>
    <row r="154"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</row>
    <row r="155"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</row>
    <row r="156"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</row>
    <row r="157"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</row>
    <row r="158"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</row>
    <row r="159"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</row>
    <row r="160"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</row>
    <row r="161"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</row>
    <row r="162"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</row>
    <row r="163"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</row>
    <row r="164"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</row>
    <row r="165"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</row>
    <row r="166"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</row>
    <row r="167"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</row>
    <row r="168"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</row>
    <row r="169"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</row>
    <row r="170"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</row>
    <row r="171"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</row>
    <row r="172"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</row>
    <row r="173"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</row>
    <row r="174"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</row>
    <row r="175"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</row>
    <row r="176"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</row>
    <row r="177"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</row>
    <row r="178"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</row>
    <row r="179"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</row>
    <row r="180"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</row>
    <row r="181"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</row>
    <row r="182"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</row>
    <row r="183"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</row>
    <row r="184"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</row>
    <row r="185"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</row>
    <row r="186"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</row>
    <row r="187"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</row>
    <row r="188"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</row>
    <row r="189"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</row>
    <row r="190"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</row>
    <row r="191"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</row>
    <row r="192"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</row>
    <row r="193"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</row>
    <row r="194"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</row>
    <row r="195"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</row>
    <row r="196"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</row>
    <row r="197"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</row>
    <row r="198"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</row>
    <row r="199"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</row>
    <row r="200"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</row>
    <row r="201"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</row>
    <row r="202"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</row>
    <row r="203"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</row>
    <row r="204"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</row>
    <row r="205"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</row>
    <row r="206"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</row>
    <row r="207"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</row>
    <row r="208"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</row>
    <row r="209"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</row>
    <row r="210"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</row>
    <row r="211"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</row>
    <row r="212"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</row>
    <row r="213"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</row>
    <row r="214"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</row>
    <row r="215"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</row>
    <row r="216"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</row>
    <row r="217"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</row>
    <row r="218"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</row>
    <row r="219"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</row>
    <row r="220"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</row>
    <row r="221"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</row>
    <row r="222"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</row>
    <row r="223"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</row>
    <row r="224"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</row>
    <row r="225"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</row>
    <row r="226"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</row>
    <row r="227"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</row>
    <row r="228"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</row>
    <row r="229"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</row>
    <row r="230"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</row>
    <row r="231"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</row>
    <row r="232"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</row>
    <row r="233"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</row>
    <row r="234"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</row>
    <row r="235"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</row>
    <row r="236"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</row>
    <row r="237"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</row>
    <row r="238"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</row>
    <row r="239"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</row>
    <row r="240"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</row>
    <row r="241"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</row>
    <row r="242"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</row>
    <row r="243"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</row>
    <row r="244"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</row>
    <row r="245"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</row>
    <row r="246"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</row>
    <row r="247"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</row>
    <row r="248"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</row>
    <row r="249"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</row>
    <row r="250"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</row>
    <row r="251"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</row>
    <row r="252"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</row>
    <row r="253"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</row>
    <row r="254"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</row>
    <row r="255"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</row>
    <row r="256"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</row>
    <row r="257"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</row>
    <row r="258"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</row>
    <row r="259"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</row>
    <row r="260"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</row>
    <row r="261"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</row>
    <row r="262"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</row>
    <row r="263"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</row>
    <row r="264"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</row>
    <row r="265"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</row>
    <row r="266"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</row>
    <row r="267"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</row>
    <row r="268"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</row>
    <row r="269"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</row>
    <row r="270"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</row>
    <row r="271"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</row>
    <row r="272"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</row>
    <row r="273"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</row>
    <row r="274"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</row>
    <row r="275"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</row>
    <row r="276"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</row>
    <row r="277"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</row>
    <row r="278"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</row>
    <row r="279"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</row>
    <row r="280"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</row>
    <row r="281"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</row>
    <row r="282"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</row>
    <row r="283"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</row>
    <row r="284"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</row>
    <row r="285"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</row>
    <row r="286"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</row>
    <row r="287"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</row>
    <row r="288"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</row>
    <row r="289"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</row>
    <row r="290"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</row>
    <row r="291"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</row>
    <row r="292"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</row>
    <row r="293"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</row>
    <row r="294"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</row>
    <row r="295"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</row>
    <row r="296"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</row>
    <row r="297"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</row>
    <row r="298"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</row>
    <row r="299"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</row>
    <row r="300"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</row>
    <row r="301"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</row>
    <row r="302"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</row>
    <row r="303"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</row>
    <row r="304"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</row>
    <row r="305"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</row>
    <row r="306"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</row>
    <row r="307"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</row>
    <row r="308"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</row>
    <row r="309"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</row>
    <row r="310"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</row>
    <row r="311"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</row>
    <row r="312"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</row>
    <row r="313"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</row>
    <row r="314"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</row>
    <row r="315"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</row>
    <row r="316"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</row>
    <row r="317"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</row>
    <row r="318"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</row>
    <row r="319"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</row>
    <row r="320"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</row>
    <row r="321"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</row>
    <row r="322"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</row>
    <row r="323"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</row>
    <row r="324"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</row>
    <row r="325"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</row>
    <row r="326"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</row>
    <row r="327"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</row>
    <row r="328"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</row>
    <row r="329"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</row>
    <row r="330"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</row>
    <row r="331"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</row>
    <row r="332"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</row>
    <row r="333"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</row>
    <row r="334"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</row>
    <row r="335"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</row>
    <row r="336"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</row>
    <row r="337"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</row>
    <row r="338"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</row>
    <row r="339"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</row>
    <row r="340"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</row>
    <row r="341"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</row>
    <row r="342"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</row>
    <row r="343"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</row>
    <row r="344"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</row>
    <row r="345"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</row>
    <row r="346"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</row>
    <row r="347"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</row>
    <row r="348"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</row>
    <row r="349"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</row>
    <row r="350"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</row>
    <row r="351"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</row>
    <row r="352"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</row>
    <row r="353"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</row>
    <row r="354"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</row>
    <row r="355"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</row>
    <row r="356"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</row>
    <row r="357"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</row>
    <row r="358"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</row>
    <row r="359"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</row>
    <row r="360"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</row>
    <row r="361"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</row>
    <row r="362"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</row>
    <row r="363"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</row>
    <row r="364"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</row>
    <row r="365"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</row>
    <row r="366"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</row>
    <row r="367"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</row>
    <row r="368"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</row>
    <row r="369"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</row>
    <row r="370"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</row>
    <row r="371"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</row>
    <row r="372"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</row>
    <row r="373"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</row>
    <row r="374"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</row>
    <row r="375"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</row>
    <row r="376"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</row>
    <row r="377"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</row>
    <row r="378"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</row>
    <row r="379"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</row>
    <row r="380"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</row>
    <row r="381"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</row>
    <row r="382"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</row>
    <row r="383"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</row>
    <row r="384"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</row>
    <row r="385"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</row>
    <row r="386"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</row>
    <row r="387"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</row>
    <row r="388"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</row>
    <row r="389"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</row>
    <row r="390"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</row>
    <row r="391"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</row>
    <row r="392"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</row>
    <row r="393"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</row>
    <row r="394"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</row>
    <row r="395"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</row>
    <row r="396"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</row>
    <row r="397"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</row>
    <row r="398"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</row>
    <row r="399"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</row>
    <row r="400"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</row>
    <row r="401"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</row>
    <row r="402"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</row>
    <row r="403"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</row>
    <row r="404"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</row>
    <row r="405"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</row>
    <row r="406"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</row>
    <row r="407"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</row>
    <row r="408"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</row>
    <row r="409"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</row>
    <row r="410"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</row>
    <row r="411"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</row>
    <row r="412"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</row>
    <row r="413"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</row>
    <row r="414"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</row>
    <row r="415"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</row>
    <row r="416"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</row>
    <row r="417"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</row>
    <row r="418"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</row>
    <row r="419"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</row>
    <row r="420"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</row>
    <row r="421"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</row>
    <row r="422"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</row>
    <row r="423"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</row>
    <row r="424"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</row>
    <row r="425"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</row>
    <row r="426"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</row>
    <row r="427"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</row>
    <row r="428"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</row>
    <row r="429"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</row>
    <row r="430"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</row>
    <row r="431"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</row>
    <row r="432"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</row>
    <row r="433"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</row>
    <row r="434"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</row>
    <row r="435"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</row>
    <row r="436"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</row>
    <row r="437"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</row>
    <row r="438"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</row>
    <row r="439"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</row>
    <row r="440"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</row>
    <row r="441"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</row>
    <row r="442"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</row>
    <row r="443"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</row>
    <row r="444"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</row>
    <row r="445"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</row>
    <row r="446"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</row>
    <row r="447"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</row>
    <row r="448"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</row>
    <row r="449"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</row>
    <row r="450"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</row>
    <row r="451"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</row>
    <row r="452"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</row>
    <row r="453"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</row>
    <row r="454"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</row>
    <row r="455"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</row>
    <row r="456"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</row>
    <row r="457"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</row>
    <row r="458"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</row>
    <row r="459"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</row>
    <row r="460"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</row>
    <row r="461"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</row>
    <row r="462"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</row>
    <row r="463"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</row>
    <row r="464"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</row>
    <row r="465"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</row>
    <row r="466"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</row>
    <row r="467"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</row>
    <row r="468"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</row>
    <row r="469"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</row>
    <row r="470"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</row>
    <row r="471"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</row>
    <row r="472"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</row>
    <row r="473"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</row>
    <row r="474"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</row>
    <row r="475"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</row>
    <row r="476"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</row>
    <row r="477"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</row>
    <row r="478"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</row>
    <row r="479"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</row>
    <row r="480"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</row>
    <row r="481"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</row>
    <row r="482"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</row>
    <row r="483"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</row>
    <row r="484"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</row>
    <row r="485"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</row>
    <row r="486"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</row>
    <row r="487"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</row>
    <row r="488"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</row>
    <row r="489"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</row>
    <row r="490"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</row>
    <row r="491"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</row>
    <row r="492"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</row>
    <row r="493"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</row>
    <row r="494"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</row>
    <row r="495"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</row>
    <row r="496"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</row>
    <row r="497"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</row>
    <row r="498"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</row>
    <row r="499"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</row>
    <row r="500"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</row>
    <row r="501"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</row>
    <row r="502"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</row>
    <row r="503"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</row>
    <row r="504"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</row>
    <row r="505"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</row>
    <row r="506"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</row>
    <row r="507"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</row>
    <row r="508"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</row>
    <row r="509"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</row>
    <row r="510"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</row>
    <row r="511"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</row>
    <row r="512"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</row>
    <row r="513"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</row>
    <row r="514"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</row>
    <row r="515"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</row>
    <row r="516"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</row>
    <row r="517"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</row>
    <row r="518"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</row>
    <row r="519"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</row>
    <row r="520"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</row>
    <row r="521"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</row>
    <row r="522"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</row>
    <row r="523"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</row>
    <row r="524"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</row>
    <row r="525"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</row>
    <row r="526"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</row>
    <row r="527"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</row>
    <row r="528"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</row>
    <row r="529"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</row>
    <row r="530"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</row>
    <row r="531"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</row>
    <row r="532"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</row>
    <row r="533"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</row>
    <row r="534"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</row>
    <row r="535"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</row>
    <row r="536"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</row>
    <row r="537"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</row>
    <row r="538"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</row>
    <row r="539"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</row>
    <row r="540"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</row>
    <row r="541"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</row>
    <row r="542"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</row>
    <row r="543"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</row>
    <row r="544"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</row>
    <row r="545"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</row>
    <row r="546"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</row>
    <row r="547"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</row>
    <row r="548"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</row>
    <row r="549"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</row>
    <row r="550"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</row>
    <row r="551"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</row>
    <row r="552"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</row>
    <row r="553"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</row>
    <row r="554"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</row>
    <row r="555"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</row>
    <row r="556"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</row>
    <row r="557"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</row>
    <row r="558"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</row>
    <row r="559"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</row>
    <row r="560"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</row>
    <row r="561"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</row>
    <row r="562"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</row>
    <row r="563"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</row>
    <row r="564"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</row>
    <row r="565"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</row>
    <row r="566"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</row>
    <row r="567"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</row>
    <row r="568"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</row>
    <row r="569"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</row>
    <row r="570"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</row>
    <row r="571"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</row>
    <row r="572"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</row>
    <row r="573"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</row>
    <row r="574"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</row>
    <row r="575"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</row>
    <row r="576"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</row>
    <row r="577"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</row>
    <row r="578"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</row>
    <row r="579"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</row>
    <row r="580"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</row>
    <row r="581"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</row>
    <row r="582"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</row>
    <row r="583"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</row>
    <row r="584"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</row>
    <row r="585"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</row>
    <row r="586"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</row>
    <row r="587"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</row>
    <row r="588"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</row>
    <row r="589"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</row>
    <row r="590"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</row>
    <row r="591"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</row>
    <row r="592"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</row>
    <row r="593"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</row>
    <row r="594"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</row>
    <row r="595"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</row>
    <row r="596"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</row>
    <row r="597"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</row>
    <row r="598"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</row>
    <row r="599"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</row>
    <row r="600"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</row>
    <row r="601"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</row>
    <row r="602"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</row>
    <row r="603"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</row>
    <row r="604"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</row>
    <row r="605"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</row>
    <row r="606"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</row>
    <row r="607"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</row>
    <row r="608"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</row>
    <row r="609"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</row>
    <row r="610"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</row>
    <row r="611"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</row>
    <row r="612"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</row>
    <row r="613"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</row>
    <row r="614"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</row>
    <row r="615"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</row>
    <row r="616"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</row>
    <row r="617"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</row>
    <row r="618"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</row>
    <row r="619"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</row>
    <row r="620"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</row>
    <row r="621"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</row>
    <row r="622"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</row>
    <row r="623"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</row>
    <row r="624"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</row>
    <row r="625"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</row>
    <row r="626"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</row>
    <row r="627"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</row>
    <row r="628"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</row>
    <row r="629"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</row>
    <row r="630"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</row>
    <row r="631"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</row>
    <row r="632"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</row>
    <row r="633"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</row>
    <row r="634"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</row>
    <row r="635"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</row>
    <row r="636"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</row>
    <row r="637"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</row>
    <row r="638"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</row>
    <row r="639"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</row>
    <row r="640"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</row>
    <row r="641"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</row>
    <row r="642"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</row>
    <row r="643"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</row>
    <row r="644"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</row>
    <row r="645"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</row>
    <row r="646"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</row>
    <row r="647"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</row>
    <row r="648"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</row>
    <row r="649"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</row>
    <row r="650"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</row>
    <row r="651"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</row>
    <row r="652"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</row>
    <row r="653"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</row>
    <row r="654"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</row>
    <row r="655"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</row>
    <row r="656"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</row>
    <row r="657"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</row>
    <row r="658"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</row>
    <row r="659"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</row>
    <row r="660"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</row>
    <row r="661"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</row>
    <row r="662"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</row>
    <row r="663"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</row>
    <row r="664"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</row>
    <row r="665"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</row>
    <row r="666"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</row>
    <row r="667"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</row>
    <row r="668"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</row>
    <row r="669"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</row>
    <row r="670"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</row>
    <row r="671"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</row>
    <row r="672"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</row>
    <row r="673"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</row>
    <row r="674"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</row>
    <row r="675"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</row>
    <row r="676"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</row>
    <row r="677"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</row>
    <row r="678"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</row>
    <row r="679"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</row>
    <row r="680"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</row>
    <row r="681"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</row>
    <row r="682"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</row>
    <row r="683"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</row>
    <row r="684"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</row>
    <row r="685"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</row>
    <row r="686"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</row>
    <row r="687"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</row>
    <row r="688"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</row>
    <row r="689"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</row>
    <row r="690"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</row>
    <row r="691"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</row>
    <row r="692"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</row>
    <row r="693"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</row>
    <row r="694"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</row>
    <row r="695"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</row>
    <row r="696"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</row>
    <row r="697"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</row>
    <row r="698"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</row>
    <row r="699"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</row>
    <row r="700"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</row>
    <row r="701"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</row>
    <row r="702"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</row>
    <row r="703"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</row>
    <row r="704"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</row>
    <row r="705"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</row>
    <row r="706"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</row>
    <row r="707"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</row>
    <row r="708"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</row>
    <row r="709"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</row>
    <row r="710"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</row>
    <row r="711"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</row>
    <row r="712"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</row>
    <row r="713"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</row>
    <row r="714"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</row>
    <row r="715"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</row>
    <row r="716"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</row>
    <row r="717"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</row>
    <row r="718"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</row>
    <row r="719"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</row>
    <row r="720"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</row>
    <row r="721"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</row>
    <row r="722"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</row>
    <row r="723"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</row>
    <row r="724"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</row>
    <row r="725"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</row>
    <row r="726"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</row>
    <row r="727"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</row>
    <row r="728"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</row>
    <row r="729"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</row>
    <row r="730"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</row>
    <row r="731"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</row>
    <row r="732"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</row>
    <row r="733"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</row>
    <row r="734"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</row>
    <row r="735"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</row>
    <row r="736"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</row>
    <row r="737"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</row>
    <row r="738"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</row>
    <row r="739"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</row>
    <row r="740"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</row>
    <row r="741"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</row>
    <row r="742"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</row>
    <row r="743"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</row>
    <row r="744"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</row>
    <row r="745"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</row>
    <row r="746"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</row>
    <row r="747"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</row>
    <row r="748"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</row>
    <row r="749"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</row>
    <row r="750"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</row>
    <row r="751"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</row>
    <row r="752"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</row>
    <row r="753"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</row>
    <row r="754"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</row>
    <row r="755"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</row>
    <row r="756"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</row>
    <row r="757"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</row>
    <row r="758"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</row>
    <row r="759"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</row>
    <row r="760"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</row>
    <row r="761"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</row>
    <row r="762"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</row>
    <row r="763"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</row>
    <row r="764"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</row>
    <row r="765"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</row>
    <row r="766"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</row>
    <row r="767"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</row>
    <row r="768"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</row>
    <row r="769"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</row>
    <row r="770"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</row>
    <row r="771"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</row>
    <row r="772"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</row>
    <row r="773"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</row>
    <row r="774"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</row>
    <row r="775"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</row>
    <row r="776"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</row>
    <row r="777"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</row>
    <row r="778"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</row>
    <row r="779"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</row>
    <row r="780"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</row>
    <row r="781"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</row>
    <row r="782"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</row>
    <row r="783"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</row>
    <row r="784"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</row>
    <row r="785"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</row>
    <row r="786"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</row>
    <row r="787"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</row>
    <row r="788"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</row>
    <row r="789"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</row>
    <row r="790"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</row>
    <row r="791"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</row>
    <row r="792"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</row>
    <row r="793"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</row>
    <row r="794"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</row>
    <row r="795"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</row>
    <row r="796"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</row>
    <row r="797"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</row>
    <row r="798"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</row>
    <row r="799"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</row>
    <row r="800"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</row>
    <row r="801"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</row>
    <row r="802"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</row>
    <row r="803"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</row>
    <row r="804"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</row>
    <row r="805"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</row>
    <row r="806"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</row>
    <row r="807"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</row>
    <row r="808"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</row>
    <row r="809"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</row>
    <row r="810"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</row>
    <row r="811"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</row>
    <row r="812"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</row>
    <row r="813"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</row>
    <row r="814"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</row>
    <row r="815"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</row>
    <row r="816"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</row>
    <row r="817"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</row>
    <row r="818"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</row>
    <row r="819"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</row>
    <row r="820"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</row>
    <row r="821"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</row>
    <row r="822"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</row>
    <row r="823"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</row>
    <row r="824"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</row>
    <row r="825"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</row>
    <row r="826"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</row>
    <row r="827"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</row>
    <row r="828"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</row>
    <row r="829"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</row>
    <row r="830"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</row>
    <row r="831"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</row>
    <row r="832"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</row>
    <row r="833"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</row>
    <row r="834"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</row>
    <row r="835"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</row>
    <row r="836"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</row>
    <row r="837"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</row>
    <row r="838"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</row>
    <row r="839"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</row>
    <row r="840"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</row>
    <row r="841"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</row>
    <row r="842"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</row>
    <row r="843"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</row>
    <row r="844"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</row>
    <row r="845"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</row>
    <row r="846"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</row>
    <row r="847"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</row>
    <row r="848"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</row>
    <row r="849"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</row>
    <row r="850"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</row>
    <row r="851"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</row>
    <row r="852"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</row>
    <row r="853"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</row>
    <row r="854"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</row>
    <row r="855"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</row>
    <row r="856"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</row>
    <row r="857"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</row>
    <row r="858"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</row>
    <row r="859"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</row>
    <row r="860"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</row>
    <row r="861"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</row>
    <row r="862"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</row>
    <row r="863"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</row>
    <row r="864"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</row>
    <row r="865"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</row>
    <row r="866"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</row>
    <row r="867"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</row>
    <row r="868"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</row>
    <row r="869"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</row>
    <row r="870"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</row>
    <row r="871"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</row>
    <row r="872"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</row>
    <row r="873"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</row>
    <row r="874"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</row>
    <row r="875"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</row>
    <row r="876"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</row>
    <row r="877"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</row>
    <row r="878"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</row>
    <row r="879"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</row>
    <row r="880"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</row>
    <row r="881"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</row>
    <row r="882"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</row>
    <row r="883"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</row>
    <row r="884"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</row>
    <row r="885"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</row>
    <row r="886"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</row>
    <row r="887"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</row>
    <row r="888"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</row>
    <row r="889"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</row>
    <row r="890"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</row>
    <row r="891"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</row>
    <row r="892"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</row>
    <row r="893"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</row>
    <row r="894"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</row>
    <row r="895"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</row>
    <row r="896"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</row>
    <row r="897"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</row>
    <row r="898"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</row>
    <row r="899"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</row>
    <row r="900"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</row>
    <row r="901"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</row>
    <row r="902"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</row>
    <row r="903"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</row>
    <row r="904"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</row>
    <row r="905"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</row>
    <row r="906"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</row>
    <row r="907"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</row>
    <row r="908"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</row>
    <row r="909"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</row>
    <row r="910"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</row>
    <row r="911"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</row>
    <row r="912"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</row>
    <row r="913"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</row>
    <row r="914"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</row>
    <row r="915"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</row>
    <row r="916"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</row>
    <row r="917"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</row>
    <row r="918"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</row>
    <row r="919"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</row>
    <row r="920"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</row>
    <row r="921"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</row>
    <row r="922"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</row>
    <row r="923"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</row>
    <row r="924"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</row>
    <row r="925"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</row>
    <row r="926"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</row>
    <row r="927"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</row>
    <row r="928"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</row>
    <row r="929"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</row>
    <row r="930"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</row>
    <row r="931"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</row>
    <row r="932"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</row>
    <row r="933"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</row>
    <row r="934"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</row>
    <row r="935"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</row>
    <row r="936"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</row>
    <row r="937"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</row>
    <row r="938"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</row>
    <row r="939"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</row>
    <row r="940"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</row>
    <row r="941"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</row>
    <row r="942"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</row>
    <row r="943"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</row>
    <row r="944"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</row>
    <row r="945"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</row>
    <row r="946"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</row>
    <row r="947"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</row>
    <row r="948"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</row>
    <row r="949"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</row>
    <row r="950"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</row>
    <row r="951"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</row>
    <row r="952"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</row>
    <row r="953"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</row>
    <row r="954"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</row>
    <row r="955"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</row>
    <row r="956"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</row>
    <row r="957"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</row>
    <row r="958"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</row>
    <row r="959"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</row>
    <row r="960"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</row>
    <row r="961"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</row>
    <row r="962"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</row>
    <row r="963"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</row>
    <row r="964"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</row>
    <row r="965"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</row>
    <row r="966"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</row>
    <row r="967"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</row>
    <row r="968"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</row>
    <row r="969"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</row>
    <row r="970"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</row>
    <row r="971"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</row>
    <row r="972"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</row>
    <row r="973"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</row>
    <row r="974"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</row>
    <row r="975"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</row>
    <row r="976"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</row>
    <row r="977"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</row>
    <row r="978"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</row>
    <row r="979"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</row>
    <row r="980"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</row>
    <row r="981"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</row>
    <row r="982"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</row>
    <row r="983"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</row>
    <row r="984"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</row>
    <row r="985"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</row>
    <row r="986"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</row>
    <row r="987"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</row>
    <row r="988"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</row>
    <row r="989"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</row>
    <row r="990"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</row>
    <row r="991"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</row>
    <row r="992"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</row>
    <row r="993"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</row>
    <row r="994"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</row>
    <row r="995"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</row>
    <row r="996"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</row>
    <row r="997"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</row>
    <row r="998"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</row>
    <row r="999"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</row>
    <row r="1000"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</row>
    <row r="1001">
      <c r="AD1001" s="28"/>
      <c r="AE1001" s="28"/>
      <c r="AF1001" s="28"/>
      <c r="AG1001" s="28"/>
      <c r="AH1001" s="28"/>
      <c r="AI1001" s="28"/>
      <c r="AJ1001" s="28"/>
      <c r="AK1001" s="28"/>
      <c r="AL1001" s="28"/>
      <c r="AM1001" s="28"/>
      <c r="AN1001" s="28"/>
      <c r="AO1001" s="28"/>
      <c r="AP1001" s="28"/>
    </row>
    <row r="1002">
      <c r="AD1002" s="28"/>
      <c r="AE1002" s="28"/>
      <c r="AF1002" s="28"/>
      <c r="AG1002" s="28"/>
      <c r="AH1002" s="28"/>
      <c r="AI1002" s="28"/>
      <c r="AJ1002" s="28"/>
      <c r="AK1002" s="28"/>
      <c r="AL1002" s="28"/>
      <c r="AM1002" s="28"/>
      <c r="AN1002" s="28"/>
      <c r="AO1002" s="28"/>
      <c r="AP1002" s="28"/>
    </row>
  </sheetData>
  <mergeCells count="23">
    <mergeCell ref="C5:I5"/>
    <mergeCell ref="A1:H3"/>
    <mergeCell ref="I2:N2"/>
    <mergeCell ref="A18:B18"/>
    <mergeCell ref="A19:B19"/>
    <mergeCell ref="A20:B20"/>
    <mergeCell ref="A5:B7"/>
    <mergeCell ref="J5:P5"/>
    <mergeCell ref="AE5:AK5"/>
    <mergeCell ref="AM5:AP6"/>
    <mergeCell ref="W2:AC2"/>
    <mergeCell ref="AD2:AG2"/>
    <mergeCell ref="A4:AG4"/>
    <mergeCell ref="O1:V1"/>
    <mergeCell ref="O2:V2"/>
    <mergeCell ref="I1:N1"/>
    <mergeCell ref="W1:AC1"/>
    <mergeCell ref="AD1:AG1"/>
    <mergeCell ref="Q5:W5"/>
    <mergeCell ref="AM19:AP26"/>
    <mergeCell ref="AM18:AP18"/>
    <mergeCell ref="I3:AG3"/>
    <mergeCell ref="X5:AD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26.25"/>
    <col customWidth="1" min="3" max="22" width="4.13"/>
    <col customWidth="1" min="23" max="23" width="4.5"/>
    <col customWidth="1" min="24" max="35" width="4.13"/>
    <col customWidth="1" min="36" max="36" width="5.38"/>
    <col customWidth="1" min="37" max="37" width="3.75"/>
    <col customWidth="1" min="38" max="38" width="5.25"/>
    <col customWidth="1" min="39" max="39" width="4.5"/>
    <col customWidth="1" min="40" max="40" width="4.75"/>
    <col customWidth="1" min="41" max="41" width="6.88"/>
    <col customWidth="1" min="42" max="42" width="13.25"/>
  </cols>
  <sheetData>
    <row r="1" ht="36.75" customHeight="1">
      <c r="A1" s="1" t="s">
        <v>0</v>
      </c>
      <c r="I1" s="2" t="s">
        <v>1</v>
      </c>
      <c r="O1" s="2" t="s">
        <v>2</v>
      </c>
      <c r="W1" s="2" t="s">
        <v>3</v>
      </c>
      <c r="AD1" s="2" t="s">
        <v>4</v>
      </c>
      <c r="AH1" s="3"/>
      <c r="AI1" s="3"/>
      <c r="AJ1" s="3"/>
      <c r="AK1" s="3"/>
      <c r="AL1" s="3"/>
    </row>
    <row r="2">
      <c r="I2" s="2">
        <v>8.0</v>
      </c>
      <c r="O2" s="4">
        <f>COUNTIF(C8:AG12, TRUE)</f>
        <v>1</v>
      </c>
      <c r="W2" s="5" t="str">
        <f>IFERROR(__xludf.DUMMYFUNCTION("SPARKLINE(AD2, {""charttype"",""bar""; ""max"",1;""color1"",""green""; ""empty"",""zero""})"),"")</f>
        <v/>
      </c>
      <c r="X2" s="6"/>
      <c r="Y2" s="6"/>
      <c r="Z2" s="6"/>
      <c r="AA2" s="6"/>
      <c r="AB2" s="6"/>
      <c r="AC2" s="7"/>
      <c r="AD2" s="8">
        <f>SUM(O2) / (COUNTA(C8:AG8) * ROWS(C8:AG15))</f>
        <v>0.004032258065</v>
      </c>
      <c r="AH2" s="3"/>
      <c r="AI2" s="3"/>
      <c r="AJ2" s="3"/>
      <c r="AK2" s="3"/>
      <c r="AL2" s="3"/>
    </row>
    <row r="3">
      <c r="I3" s="9"/>
      <c r="AH3" s="3"/>
      <c r="AI3" s="3"/>
      <c r="AJ3" s="3"/>
      <c r="AK3" s="3"/>
      <c r="AL3" s="3"/>
    </row>
    <row r="4">
      <c r="A4" s="10"/>
      <c r="AH4" s="3"/>
      <c r="AI4" s="3"/>
      <c r="AJ4" s="3"/>
      <c r="AK4" s="3"/>
      <c r="AL4" s="3"/>
      <c r="AM4" s="3"/>
      <c r="AN4" s="3"/>
      <c r="AO4" s="3"/>
      <c r="AP4" s="3"/>
    </row>
    <row r="5">
      <c r="A5" s="11" t="s">
        <v>5</v>
      </c>
      <c r="C5" s="12" t="s">
        <v>6</v>
      </c>
      <c r="J5" s="11" t="s">
        <v>7</v>
      </c>
      <c r="Q5" s="12" t="s">
        <v>8</v>
      </c>
      <c r="X5" s="11" t="s">
        <v>9</v>
      </c>
      <c r="AE5" s="12" t="s">
        <v>10</v>
      </c>
      <c r="AM5" s="13" t="s">
        <v>11</v>
      </c>
    </row>
    <row r="6"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2" t="s">
        <v>17</v>
      </c>
      <c r="I6" s="12" t="s">
        <v>18</v>
      </c>
      <c r="J6" s="11" t="s">
        <v>12</v>
      </c>
      <c r="K6" s="11" t="s">
        <v>13</v>
      </c>
      <c r="L6" s="11" t="s">
        <v>14</v>
      </c>
      <c r="M6" s="11" t="s">
        <v>15</v>
      </c>
      <c r="N6" s="11" t="s">
        <v>16</v>
      </c>
      <c r="O6" s="11" t="s">
        <v>17</v>
      </c>
      <c r="P6" s="11" t="s">
        <v>18</v>
      </c>
      <c r="Q6" s="12" t="s">
        <v>12</v>
      </c>
      <c r="R6" s="12" t="s">
        <v>13</v>
      </c>
      <c r="S6" s="12" t="s">
        <v>14</v>
      </c>
      <c r="T6" s="12" t="s">
        <v>15</v>
      </c>
      <c r="U6" s="12" t="s">
        <v>16</v>
      </c>
      <c r="V6" s="12" t="s">
        <v>17</v>
      </c>
      <c r="W6" s="12" t="s">
        <v>18</v>
      </c>
      <c r="X6" s="11" t="s">
        <v>12</v>
      </c>
      <c r="Y6" s="11" t="s">
        <v>13</v>
      </c>
      <c r="Z6" s="11" t="s">
        <v>14</v>
      </c>
      <c r="AA6" s="11" t="s">
        <v>15</v>
      </c>
      <c r="AB6" s="11" t="s">
        <v>16</v>
      </c>
      <c r="AC6" s="11" t="s">
        <v>17</v>
      </c>
      <c r="AD6" s="11" t="s">
        <v>18</v>
      </c>
      <c r="AE6" s="12" t="s">
        <v>12</v>
      </c>
      <c r="AF6" s="12" t="s">
        <v>13</v>
      </c>
      <c r="AG6" s="12" t="s">
        <v>14</v>
      </c>
      <c r="AH6" s="12" t="s">
        <v>15</v>
      </c>
      <c r="AI6" s="12" t="s">
        <v>16</v>
      </c>
      <c r="AJ6" s="12" t="s">
        <v>17</v>
      </c>
      <c r="AK6" s="12" t="s">
        <v>18</v>
      </c>
      <c r="AL6" s="3"/>
    </row>
    <row r="7">
      <c r="C7" s="12">
        <v>1.0</v>
      </c>
      <c r="D7" s="12">
        <v>2.0</v>
      </c>
      <c r="E7" s="12">
        <v>3.0</v>
      </c>
      <c r="F7" s="12">
        <v>4.0</v>
      </c>
      <c r="G7" s="12">
        <v>5.0</v>
      </c>
      <c r="H7" s="12">
        <v>6.0</v>
      </c>
      <c r="I7" s="12">
        <v>7.0</v>
      </c>
      <c r="J7" s="11">
        <v>8.0</v>
      </c>
      <c r="K7" s="11">
        <v>9.0</v>
      </c>
      <c r="L7" s="11">
        <v>10.0</v>
      </c>
      <c r="M7" s="11">
        <v>11.0</v>
      </c>
      <c r="N7" s="11">
        <v>12.0</v>
      </c>
      <c r="O7" s="11">
        <v>13.0</v>
      </c>
      <c r="P7" s="11">
        <v>14.0</v>
      </c>
      <c r="Q7" s="12">
        <v>15.0</v>
      </c>
      <c r="R7" s="12">
        <v>16.0</v>
      </c>
      <c r="S7" s="12">
        <v>17.0</v>
      </c>
      <c r="T7" s="12">
        <v>18.0</v>
      </c>
      <c r="U7" s="12">
        <v>19.0</v>
      </c>
      <c r="V7" s="12">
        <v>20.0</v>
      </c>
      <c r="W7" s="12">
        <v>21.0</v>
      </c>
      <c r="X7" s="11">
        <v>22.0</v>
      </c>
      <c r="Y7" s="11">
        <v>23.0</v>
      </c>
      <c r="Z7" s="11">
        <v>24.0</v>
      </c>
      <c r="AA7" s="11">
        <v>25.0</v>
      </c>
      <c r="AB7" s="11">
        <v>26.0</v>
      </c>
      <c r="AC7" s="11">
        <v>27.0</v>
      </c>
      <c r="AD7" s="11">
        <v>28.0</v>
      </c>
      <c r="AE7" s="12">
        <v>29.0</v>
      </c>
      <c r="AF7" s="12">
        <v>30.0</v>
      </c>
      <c r="AG7" s="12">
        <v>1.0</v>
      </c>
      <c r="AH7" s="12">
        <v>2.0</v>
      </c>
      <c r="AI7" s="12">
        <v>3.0</v>
      </c>
      <c r="AJ7" s="12">
        <v>4.0</v>
      </c>
      <c r="AK7" s="12">
        <v>5.0</v>
      </c>
      <c r="AL7" s="3"/>
      <c r="AM7" s="14" t="s">
        <v>19</v>
      </c>
      <c r="AN7" s="14" t="s">
        <v>20</v>
      </c>
      <c r="AO7" s="14" t="s">
        <v>21</v>
      </c>
      <c r="AP7" s="14" t="s">
        <v>3</v>
      </c>
    </row>
    <row r="8">
      <c r="A8" s="15">
        <v>1.0</v>
      </c>
      <c r="B8" s="15" t="s">
        <v>22</v>
      </c>
      <c r="C8" s="16" t="b">
        <v>1</v>
      </c>
      <c r="D8" s="16" t="b">
        <v>0</v>
      </c>
      <c r="E8" s="16" t="b">
        <v>0</v>
      </c>
      <c r="F8" s="16" t="b">
        <v>0</v>
      </c>
      <c r="G8" s="16" t="b">
        <v>0</v>
      </c>
      <c r="H8" s="16" t="b">
        <v>0</v>
      </c>
      <c r="I8" s="16" t="b">
        <v>0</v>
      </c>
      <c r="J8" s="17" t="b">
        <v>0</v>
      </c>
      <c r="K8" s="17" t="b">
        <v>0</v>
      </c>
      <c r="L8" s="17" t="b">
        <v>0</v>
      </c>
      <c r="M8" s="17" t="b">
        <v>0</v>
      </c>
      <c r="N8" s="17" t="b">
        <v>0</v>
      </c>
      <c r="O8" s="17" t="b">
        <v>0</v>
      </c>
      <c r="P8" s="17" t="b">
        <v>0</v>
      </c>
      <c r="Q8" s="16" t="b">
        <v>0</v>
      </c>
      <c r="R8" s="16" t="b">
        <v>0</v>
      </c>
      <c r="S8" s="16" t="b">
        <v>0</v>
      </c>
      <c r="T8" s="16" t="b">
        <v>0</v>
      </c>
      <c r="U8" s="16" t="b">
        <v>0</v>
      </c>
      <c r="V8" s="16" t="b">
        <v>0</v>
      </c>
      <c r="W8" s="16" t="b">
        <v>0</v>
      </c>
      <c r="X8" s="17" t="b">
        <v>0</v>
      </c>
      <c r="Y8" s="17" t="b">
        <v>0</v>
      </c>
      <c r="Z8" s="17" t="b">
        <v>0</v>
      </c>
      <c r="AA8" s="17" t="b">
        <v>0</v>
      </c>
      <c r="AB8" s="17" t="b">
        <v>0</v>
      </c>
      <c r="AC8" s="17" t="b">
        <v>0</v>
      </c>
      <c r="AD8" s="17" t="b">
        <v>0</v>
      </c>
      <c r="AE8" s="16" t="b">
        <v>0</v>
      </c>
      <c r="AF8" s="16" t="b">
        <v>0</v>
      </c>
      <c r="AG8" s="16" t="b">
        <v>0</v>
      </c>
      <c r="AH8" s="16" t="b">
        <v>0</v>
      </c>
      <c r="AI8" s="16" t="b">
        <v>0</v>
      </c>
      <c r="AJ8" s="16" t="b">
        <v>0</v>
      </c>
      <c r="AK8" s="16" t="b">
        <v>0</v>
      </c>
      <c r="AL8" s="3"/>
      <c r="AM8" s="18">
        <v>31.0</v>
      </c>
      <c r="AN8" s="18">
        <f t="shared" ref="AN8:AN15" si="1">COUNTIF(C8:AK8, TRUE)</f>
        <v>1</v>
      </c>
      <c r="AO8" s="19">
        <f t="shared" ref="AO8:AO15" si="2">SUM(AN8 / (COUNTA(C8:AK8) * ROWS(C8:AK8)))</f>
        <v>0.02857142857</v>
      </c>
      <c r="AP8" s="20" t="str">
        <f>IFERROR(__xludf.DUMMYFUNCTION("SPARKLINE(AO8, {""charttype"",""bar""; ""max"",1;""color1"",""green""; ""empty"",""zero""})"),"")</f>
        <v/>
      </c>
    </row>
    <row r="9">
      <c r="A9" s="15">
        <v>2.0</v>
      </c>
      <c r="B9" s="15" t="s">
        <v>23</v>
      </c>
      <c r="C9" s="16" t="b">
        <v>0</v>
      </c>
      <c r="D9" s="21" t="b">
        <v>0</v>
      </c>
      <c r="E9" s="16" t="b">
        <v>0</v>
      </c>
      <c r="F9" s="21" t="b">
        <v>0</v>
      </c>
      <c r="G9" s="16" t="b">
        <v>0</v>
      </c>
      <c r="H9" s="21" t="b">
        <v>0</v>
      </c>
      <c r="I9" s="21" t="b">
        <v>0</v>
      </c>
      <c r="J9" s="22" t="b">
        <v>0</v>
      </c>
      <c r="K9" s="22" t="b">
        <v>0</v>
      </c>
      <c r="L9" s="22" t="b">
        <v>0</v>
      </c>
      <c r="M9" s="22" t="b">
        <v>0</v>
      </c>
      <c r="N9" s="22" t="b">
        <v>0</v>
      </c>
      <c r="O9" s="17" t="b">
        <v>0</v>
      </c>
      <c r="P9" s="17" t="b">
        <v>0</v>
      </c>
      <c r="Q9" s="21" t="b">
        <v>0</v>
      </c>
      <c r="R9" s="16" t="b">
        <v>0</v>
      </c>
      <c r="S9" s="16" t="b">
        <v>0</v>
      </c>
      <c r="T9" s="21" t="b">
        <v>0</v>
      </c>
      <c r="U9" s="16" t="b">
        <v>0</v>
      </c>
      <c r="V9" s="16" t="b">
        <v>0</v>
      </c>
      <c r="W9" s="21" t="b">
        <v>0</v>
      </c>
      <c r="X9" s="17" t="b">
        <v>0</v>
      </c>
      <c r="Y9" s="22" t="b">
        <v>0</v>
      </c>
      <c r="Z9" s="22" t="b">
        <v>0</v>
      </c>
      <c r="AA9" s="22" t="b">
        <v>0</v>
      </c>
      <c r="AB9" s="22" t="b">
        <v>0</v>
      </c>
      <c r="AC9" s="22" t="b">
        <v>0</v>
      </c>
      <c r="AD9" s="22" t="b">
        <v>0</v>
      </c>
      <c r="AE9" s="21" t="b">
        <v>0</v>
      </c>
      <c r="AF9" s="21" t="b">
        <v>0</v>
      </c>
      <c r="AG9" s="21" t="b">
        <v>0</v>
      </c>
      <c r="AH9" s="21" t="b">
        <v>0</v>
      </c>
      <c r="AI9" s="21" t="b">
        <v>0</v>
      </c>
      <c r="AJ9" s="16" t="b">
        <v>0</v>
      </c>
      <c r="AK9" s="21" t="b">
        <v>0</v>
      </c>
      <c r="AL9" s="3"/>
      <c r="AM9" s="18">
        <v>31.0</v>
      </c>
      <c r="AN9" s="18">
        <f t="shared" si="1"/>
        <v>0</v>
      </c>
      <c r="AO9" s="19">
        <f t="shared" si="2"/>
        <v>0</v>
      </c>
      <c r="AP9" s="20" t="str">
        <f>IFERROR(__xludf.DUMMYFUNCTION("SPARKLINE(AO9, {""charttype"",""bar""; ""max"",1;""color1"",""green""; ""empty"",""zero""})"),"")</f>
        <v/>
      </c>
    </row>
    <row r="10">
      <c r="A10" s="15">
        <v>3.0</v>
      </c>
      <c r="B10" s="15" t="s">
        <v>24</v>
      </c>
      <c r="C10" s="16" t="b">
        <v>0</v>
      </c>
      <c r="D10" s="21" t="b">
        <v>0</v>
      </c>
      <c r="E10" s="16" t="b">
        <v>0</v>
      </c>
      <c r="F10" s="21" t="b">
        <v>0</v>
      </c>
      <c r="G10" s="16" t="b">
        <v>0</v>
      </c>
      <c r="H10" s="21" t="b">
        <v>0</v>
      </c>
      <c r="I10" s="16" t="b">
        <v>0</v>
      </c>
      <c r="J10" s="22" t="b">
        <v>0</v>
      </c>
      <c r="K10" s="22" t="b">
        <v>0</v>
      </c>
      <c r="L10" s="22" t="b">
        <v>0</v>
      </c>
      <c r="M10" s="22" t="b">
        <v>0</v>
      </c>
      <c r="N10" s="22" t="b">
        <v>0</v>
      </c>
      <c r="O10" s="22" t="b">
        <v>0</v>
      </c>
      <c r="P10" s="17" t="b">
        <v>0</v>
      </c>
      <c r="Q10" s="21" t="b">
        <v>0</v>
      </c>
      <c r="R10" s="21" t="b">
        <v>0</v>
      </c>
      <c r="S10" s="16" t="b">
        <v>0</v>
      </c>
      <c r="T10" s="21" t="b">
        <v>0</v>
      </c>
      <c r="U10" s="16" t="b">
        <v>0</v>
      </c>
      <c r="V10" s="16" t="b">
        <v>0</v>
      </c>
      <c r="W10" s="21" t="b">
        <v>0</v>
      </c>
      <c r="X10" s="17" t="b">
        <v>0</v>
      </c>
      <c r="Y10" s="22" t="b">
        <v>0</v>
      </c>
      <c r="Z10" s="22" t="b">
        <v>0</v>
      </c>
      <c r="AA10" s="22" t="b">
        <v>0</v>
      </c>
      <c r="AB10" s="22" t="b">
        <v>0</v>
      </c>
      <c r="AC10" s="22" t="b">
        <v>0</v>
      </c>
      <c r="AD10" s="22" t="b">
        <v>0</v>
      </c>
      <c r="AE10" s="21" t="b">
        <v>0</v>
      </c>
      <c r="AF10" s="21" t="b">
        <v>0</v>
      </c>
      <c r="AG10" s="21" t="b">
        <v>0</v>
      </c>
      <c r="AH10" s="21" t="b">
        <v>0</v>
      </c>
      <c r="AI10" s="16" t="b">
        <v>0</v>
      </c>
      <c r="AJ10" s="16" t="b">
        <v>0</v>
      </c>
      <c r="AK10" s="21" t="b">
        <v>0</v>
      </c>
      <c r="AM10" s="18">
        <v>31.0</v>
      </c>
      <c r="AN10" s="18">
        <f t="shared" si="1"/>
        <v>0</v>
      </c>
      <c r="AO10" s="19">
        <f t="shared" si="2"/>
        <v>0</v>
      </c>
      <c r="AP10" s="20" t="str">
        <f>IFERROR(__xludf.DUMMYFUNCTION("SPARKLINE(AO10, {""charttype"",""bar""; ""max"",1;""color1"",""green""; ""empty"",""zero""})"),"")</f>
        <v/>
      </c>
    </row>
    <row r="11">
      <c r="A11" s="15">
        <v>4.0</v>
      </c>
      <c r="B11" s="15" t="s">
        <v>25</v>
      </c>
      <c r="C11" s="16" t="b">
        <v>0</v>
      </c>
      <c r="D11" s="16" t="b">
        <v>0</v>
      </c>
      <c r="E11" s="16" t="b">
        <v>0</v>
      </c>
      <c r="F11" s="16" t="b">
        <v>0</v>
      </c>
      <c r="G11" s="16" t="b">
        <v>0</v>
      </c>
      <c r="H11" s="16" t="b">
        <v>0</v>
      </c>
      <c r="I11" s="16" t="b">
        <v>0</v>
      </c>
      <c r="J11" s="22" t="b">
        <v>0</v>
      </c>
      <c r="K11" s="22" t="b">
        <v>0</v>
      </c>
      <c r="L11" s="22" t="b">
        <v>0</v>
      </c>
      <c r="M11" s="22" t="b">
        <v>0</v>
      </c>
      <c r="N11" s="17" t="b">
        <v>0</v>
      </c>
      <c r="O11" s="22" t="b">
        <v>0</v>
      </c>
      <c r="P11" s="22" t="b">
        <v>0</v>
      </c>
      <c r="Q11" s="21" t="b">
        <v>0</v>
      </c>
      <c r="R11" s="16" t="b">
        <v>0</v>
      </c>
      <c r="S11" s="16" t="b">
        <v>0</v>
      </c>
      <c r="T11" s="21" t="b">
        <v>0</v>
      </c>
      <c r="U11" s="16" t="b">
        <v>0</v>
      </c>
      <c r="V11" s="16" t="b">
        <v>0</v>
      </c>
      <c r="W11" s="21" t="b">
        <v>0</v>
      </c>
      <c r="X11" s="17" t="b">
        <v>0</v>
      </c>
      <c r="Y11" s="22" t="b">
        <v>0</v>
      </c>
      <c r="Z11" s="22" t="b">
        <v>0</v>
      </c>
      <c r="AA11" s="22" t="b">
        <v>0</v>
      </c>
      <c r="AB11" s="22" t="b">
        <v>0</v>
      </c>
      <c r="AC11" s="22" t="b">
        <v>0</v>
      </c>
      <c r="AD11" s="22" t="b">
        <v>0</v>
      </c>
      <c r="AE11" s="21" t="b">
        <v>0</v>
      </c>
      <c r="AF11" s="21" t="b">
        <v>0</v>
      </c>
      <c r="AG11" s="21" t="b">
        <v>0</v>
      </c>
      <c r="AH11" s="21" t="b">
        <v>0</v>
      </c>
      <c r="AI11" s="16" t="b">
        <v>0</v>
      </c>
      <c r="AJ11" s="21" t="b">
        <v>0</v>
      </c>
      <c r="AK11" s="21" t="b">
        <v>0</v>
      </c>
      <c r="AM11" s="18">
        <v>31.0</v>
      </c>
      <c r="AN11" s="18">
        <f t="shared" si="1"/>
        <v>0</v>
      </c>
      <c r="AO11" s="19">
        <f t="shared" si="2"/>
        <v>0</v>
      </c>
      <c r="AP11" s="20" t="str">
        <f>IFERROR(__xludf.DUMMYFUNCTION("SPARKLINE(AO11, {""charttype"",""bar""; ""max"",1;""color1"",""green""; ""empty"",""zero""})"),"")</f>
        <v/>
      </c>
    </row>
    <row r="12">
      <c r="A12" s="15">
        <v>5.0</v>
      </c>
      <c r="B12" s="15" t="s">
        <v>26</v>
      </c>
      <c r="C12" s="16" t="b">
        <v>0</v>
      </c>
      <c r="D12" s="16" t="b">
        <v>0</v>
      </c>
      <c r="E12" s="21" t="b">
        <v>0</v>
      </c>
      <c r="F12" s="21" t="b">
        <v>0</v>
      </c>
      <c r="G12" s="16" t="b">
        <v>0</v>
      </c>
      <c r="H12" s="16" t="b">
        <v>0</v>
      </c>
      <c r="I12" s="16" t="b">
        <v>0</v>
      </c>
      <c r="J12" s="22" t="b">
        <v>0</v>
      </c>
      <c r="K12" s="22" t="b">
        <v>0</v>
      </c>
      <c r="L12" s="17" t="b">
        <v>0</v>
      </c>
      <c r="M12" s="17" t="b">
        <v>0</v>
      </c>
      <c r="N12" s="17" t="b">
        <v>0</v>
      </c>
      <c r="O12" s="22" t="b">
        <v>0</v>
      </c>
      <c r="P12" s="22" t="b">
        <v>0</v>
      </c>
      <c r="Q12" s="16" t="b">
        <v>0</v>
      </c>
      <c r="R12" s="16" t="b">
        <v>0</v>
      </c>
      <c r="S12" s="21" t="b">
        <v>0</v>
      </c>
      <c r="T12" s="21" t="b">
        <v>0</v>
      </c>
      <c r="U12" s="16" t="b">
        <v>0</v>
      </c>
      <c r="V12" s="16" t="b">
        <v>0</v>
      </c>
      <c r="W12" s="21" t="b">
        <v>0</v>
      </c>
      <c r="X12" s="17" t="b">
        <v>0</v>
      </c>
      <c r="Y12" s="22" t="b">
        <v>0</v>
      </c>
      <c r="Z12" s="22" t="b">
        <v>0</v>
      </c>
      <c r="AA12" s="22" t="b">
        <v>0</v>
      </c>
      <c r="AB12" s="22" t="b">
        <v>0</v>
      </c>
      <c r="AC12" s="22" t="b">
        <v>0</v>
      </c>
      <c r="AD12" s="22" t="b">
        <v>0</v>
      </c>
      <c r="AE12" s="21" t="b">
        <v>0</v>
      </c>
      <c r="AF12" s="21" t="b">
        <v>0</v>
      </c>
      <c r="AG12" s="21" t="b">
        <v>0</v>
      </c>
      <c r="AH12" s="21" t="b">
        <v>0</v>
      </c>
      <c r="AI12" s="21" t="b">
        <v>0</v>
      </c>
      <c r="AJ12" s="21" t="b">
        <v>0</v>
      </c>
      <c r="AK12" s="21" t="b">
        <v>0</v>
      </c>
      <c r="AM12" s="18">
        <v>31.0</v>
      </c>
      <c r="AN12" s="18">
        <f t="shared" si="1"/>
        <v>0</v>
      </c>
      <c r="AO12" s="19">
        <f t="shared" si="2"/>
        <v>0</v>
      </c>
      <c r="AP12" s="20" t="str">
        <f>IFERROR(__xludf.DUMMYFUNCTION("SPARKLINE(AO12, {""charttype"",""bar""; ""max"",1;""color1"",""green""; ""empty"",""zero""})"),"")</f>
        <v/>
      </c>
    </row>
    <row r="13">
      <c r="A13" s="15">
        <v>6.0</v>
      </c>
      <c r="B13" s="15" t="s">
        <v>27</v>
      </c>
      <c r="C13" s="16" t="b">
        <v>0</v>
      </c>
      <c r="D13" s="21" t="b">
        <v>0</v>
      </c>
      <c r="E13" s="21" t="b">
        <v>0</v>
      </c>
      <c r="F13" s="21" t="b">
        <v>0</v>
      </c>
      <c r="G13" s="21" t="b">
        <v>0</v>
      </c>
      <c r="H13" s="21" t="b">
        <v>0</v>
      </c>
      <c r="I13" s="16" t="b">
        <v>0</v>
      </c>
      <c r="J13" s="17" t="b">
        <v>0</v>
      </c>
      <c r="K13" s="22" t="b">
        <v>0</v>
      </c>
      <c r="L13" s="22" t="b">
        <v>0</v>
      </c>
      <c r="M13" s="22" t="b">
        <v>0</v>
      </c>
      <c r="N13" s="17" t="b">
        <v>0</v>
      </c>
      <c r="O13" s="22" t="b">
        <v>0</v>
      </c>
      <c r="P13" s="22" t="b">
        <v>0</v>
      </c>
      <c r="Q13" s="21" t="b">
        <v>0</v>
      </c>
      <c r="R13" s="16" t="b">
        <v>0</v>
      </c>
      <c r="S13" s="21" t="b">
        <v>0</v>
      </c>
      <c r="T13" s="21" t="b">
        <v>0</v>
      </c>
      <c r="U13" s="16" t="b">
        <v>0</v>
      </c>
      <c r="V13" s="16" t="b">
        <v>0</v>
      </c>
      <c r="W13" s="21" t="b">
        <v>0</v>
      </c>
      <c r="X13" s="17" t="b">
        <v>0</v>
      </c>
      <c r="Y13" s="22" t="b">
        <v>0</v>
      </c>
      <c r="Z13" s="22" t="b">
        <v>0</v>
      </c>
      <c r="AA13" s="22" t="b">
        <v>0</v>
      </c>
      <c r="AB13" s="22" t="b">
        <v>0</v>
      </c>
      <c r="AC13" s="17" t="b">
        <v>0</v>
      </c>
      <c r="AD13" s="22" t="b">
        <v>0</v>
      </c>
      <c r="AE13" s="21" t="b">
        <v>0</v>
      </c>
      <c r="AF13" s="21" t="b">
        <v>0</v>
      </c>
      <c r="AG13" s="21" t="b">
        <v>0</v>
      </c>
      <c r="AH13" s="21" t="b">
        <v>0</v>
      </c>
      <c r="AI13" s="21" t="b">
        <v>0</v>
      </c>
      <c r="AJ13" s="21" t="b">
        <v>0</v>
      </c>
      <c r="AK13" s="21" t="b">
        <v>0</v>
      </c>
      <c r="AM13" s="18">
        <v>31.0</v>
      </c>
      <c r="AN13" s="18">
        <f t="shared" si="1"/>
        <v>0</v>
      </c>
      <c r="AO13" s="19">
        <f t="shared" si="2"/>
        <v>0</v>
      </c>
      <c r="AP13" s="20" t="str">
        <f>IFERROR(__xludf.DUMMYFUNCTION("SPARKLINE(AO13, {""charttype"",""bar""; ""max"",1;""color1"",""green""; ""empty"",""zero""})"),"")</f>
        <v/>
      </c>
    </row>
    <row r="14">
      <c r="A14" s="15">
        <v>7.0</v>
      </c>
      <c r="B14" s="15" t="s">
        <v>28</v>
      </c>
      <c r="C14" s="16" t="b">
        <v>0</v>
      </c>
      <c r="D14" s="16" t="b">
        <v>0</v>
      </c>
      <c r="E14" s="21" t="b">
        <v>0</v>
      </c>
      <c r="F14" s="21" t="b">
        <v>0</v>
      </c>
      <c r="G14" s="16" t="b">
        <v>0</v>
      </c>
      <c r="H14" s="21" t="b">
        <v>0</v>
      </c>
      <c r="I14" s="21" t="b">
        <v>0</v>
      </c>
      <c r="J14" s="17" t="b">
        <v>0</v>
      </c>
      <c r="K14" s="22" t="b">
        <v>0</v>
      </c>
      <c r="L14" s="17" t="b">
        <v>0</v>
      </c>
      <c r="M14" s="17" t="b">
        <v>0</v>
      </c>
      <c r="N14" s="22" t="b">
        <v>0</v>
      </c>
      <c r="O14" s="22" t="b">
        <v>0</v>
      </c>
      <c r="P14" s="22" t="b">
        <v>0</v>
      </c>
      <c r="Q14" s="21" t="b">
        <v>0</v>
      </c>
      <c r="R14" s="16" t="b">
        <v>0</v>
      </c>
      <c r="S14" s="21" t="b">
        <v>0</v>
      </c>
      <c r="T14" s="21" t="b">
        <v>0</v>
      </c>
      <c r="U14" s="16" t="b">
        <v>0</v>
      </c>
      <c r="V14" s="16" t="b">
        <v>0</v>
      </c>
      <c r="W14" s="21" t="b">
        <v>0</v>
      </c>
      <c r="X14" s="17" t="b">
        <v>0</v>
      </c>
      <c r="Y14" s="22" t="b">
        <v>0</v>
      </c>
      <c r="Z14" s="22" t="b">
        <v>0</v>
      </c>
      <c r="AA14" s="22" t="b">
        <v>0</v>
      </c>
      <c r="AB14" s="22" t="b">
        <v>0</v>
      </c>
      <c r="AC14" s="17" t="b">
        <v>0</v>
      </c>
      <c r="AD14" s="22" t="b">
        <v>0</v>
      </c>
      <c r="AE14" s="21" t="b">
        <v>0</v>
      </c>
      <c r="AF14" s="21" t="b">
        <v>0</v>
      </c>
      <c r="AG14" s="16" t="b">
        <v>0</v>
      </c>
      <c r="AH14" s="21" t="b">
        <v>0</v>
      </c>
      <c r="AI14" s="21" t="b">
        <v>0</v>
      </c>
      <c r="AJ14" s="21" t="b">
        <v>0</v>
      </c>
      <c r="AK14" s="16" t="b">
        <v>0</v>
      </c>
      <c r="AM14" s="18">
        <v>31.0</v>
      </c>
      <c r="AN14" s="18">
        <f t="shared" si="1"/>
        <v>0</v>
      </c>
      <c r="AO14" s="19">
        <f t="shared" si="2"/>
        <v>0</v>
      </c>
      <c r="AP14" s="20" t="str">
        <f>IFERROR(__xludf.DUMMYFUNCTION("SPARKLINE(AO14, {""charttype"",""bar""; ""max"",1;""color1"",""green""; ""empty"",""zero""})"),"")</f>
        <v/>
      </c>
    </row>
    <row r="15">
      <c r="A15" s="15">
        <v>8.0</v>
      </c>
      <c r="B15" s="15" t="s">
        <v>29</v>
      </c>
      <c r="C15" s="16" t="b">
        <v>0</v>
      </c>
      <c r="D15" s="21" t="b">
        <v>0</v>
      </c>
      <c r="E15" s="21" t="b">
        <v>0</v>
      </c>
      <c r="F15" s="16" t="b">
        <v>0</v>
      </c>
      <c r="G15" s="21" t="b">
        <v>0</v>
      </c>
      <c r="H15" s="16" t="b">
        <v>0</v>
      </c>
      <c r="I15" s="21" t="b">
        <v>0</v>
      </c>
      <c r="J15" s="17" t="b">
        <v>0</v>
      </c>
      <c r="K15" s="22" t="b">
        <v>0</v>
      </c>
      <c r="L15" s="22" t="b">
        <v>0</v>
      </c>
      <c r="M15" s="17" t="b">
        <v>0</v>
      </c>
      <c r="N15" s="22" t="b">
        <v>0</v>
      </c>
      <c r="O15" s="22" t="b">
        <v>0</v>
      </c>
      <c r="P15" s="22" t="b">
        <v>0</v>
      </c>
      <c r="Q15" s="21" t="b">
        <v>0</v>
      </c>
      <c r="R15" s="16" t="b">
        <v>0</v>
      </c>
      <c r="S15" s="21" t="b">
        <v>0</v>
      </c>
      <c r="T15" s="21" t="b">
        <v>0</v>
      </c>
      <c r="U15" s="16" t="b">
        <v>0</v>
      </c>
      <c r="V15" s="16" t="b">
        <v>0</v>
      </c>
      <c r="W15" s="21" t="b">
        <v>0</v>
      </c>
      <c r="X15" s="17" t="b">
        <v>0</v>
      </c>
      <c r="Y15" s="22" t="b">
        <v>0</v>
      </c>
      <c r="Z15" s="22" t="b">
        <v>0</v>
      </c>
      <c r="AA15" s="22" t="b">
        <v>0</v>
      </c>
      <c r="AB15" s="22" t="b">
        <v>0</v>
      </c>
      <c r="AC15" s="17" t="b">
        <v>0</v>
      </c>
      <c r="AD15" s="22" t="b">
        <v>0</v>
      </c>
      <c r="AE15" s="21" t="b">
        <v>0</v>
      </c>
      <c r="AF15" s="21" t="b">
        <v>0</v>
      </c>
      <c r="AG15" s="16" t="b">
        <v>0</v>
      </c>
      <c r="AH15" s="21" t="b">
        <v>0</v>
      </c>
      <c r="AI15" s="21" t="b">
        <v>0</v>
      </c>
      <c r="AJ15" s="16" t="b">
        <v>0</v>
      </c>
      <c r="AK15" s="16" t="b">
        <v>0</v>
      </c>
      <c r="AM15" s="18">
        <v>31.0</v>
      </c>
      <c r="AN15" s="18">
        <f t="shared" si="1"/>
        <v>0</v>
      </c>
      <c r="AO15" s="19">
        <f t="shared" si="2"/>
        <v>0</v>
      </c>
      <c r="AP15" s="20" t="str">
        <f>IFERROR(__xludf.DUMMYFUNCTION("SPARKLINE(AO15, {""charttype"",""bar""; ""max"",1;""color1"",""green""; ""empty"",""zero""})"),"")</f>
        <v/>
      </c>
    </row>
    <row r="17">
      <c r="A17" s="23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>
      <c r="A18" s="15" t="s">
        <v>3</v>
      </c>
      <c r="C18" s="25">
        <f t="shared" ref="C18:AG18" si="3">IF(COUNTA(C8:C12)=0, 0, COUNTIF(C8:C12, TRUE)/COUNTA(C8:C12))</f>
        <v>0.2</v>
      </c>
      <c r="D18" s="25">
        <f t="shared" si="3"/>
        <v>0</v>
      </c>
      <c r="E18" s="25">
        <f t="shared" si="3"/>
        <v>0</v>
      </c>
      <c r="F18" s="25">
        <f t="shared" si="3"/>
        <v>0</v>
      </c>
      <c r="G18" s="25">
        <f t="shared" si="3"/>
        <v>0</v>
      </c>
      <c r="H18" s="25">
        <f t="shared" si="3"/>
        <v>0</v>
      </c>
      <c r="I18" s="25">
        <f t="shared" si="3"/>
        <v>0</v>
      </c>
      <c r="J18" s="25">
        <f t="shared" si="3"/>
        <v>0</v>
      </c>
      <c r="K18" s="25">
        <f t="shared" si="3"/>
        <v>0</v>
      </c>
      <c r="L18" s="25">
        <f t="shared" si="3"/>
        <v>0</v>
      </c>
      <c r="M18" s="25">
        <f t="shared" si="3"/>
        <v>0</v>
      </c>
      <c r="N18" s="25">
        <f t="shared" si="3"/>
        <v>0</v>
      </c>
      <c r="O18" s="25">
        <f t="shared" si="3"/>
        <v>0</v>
      </c>
      <c r="P18" s="25">
        <f t="shared" si="3"/>
        <v>0</v>
      </c>
      <c r="Q18" s="25">
        <f t="shared" si="3"/>
        <v>0</v>
      </c>
      <c r="R18" s="25">
        <f t="shared" si="3"/>
        <v>0</v>
      </c>
      <c r="S18" s="25">
        <f t="shared" si="3"/>
        <v>0</v>
      </c>
      <c r="T18" s="25">
        <f t="shared" si="3"/>
        <v>0</v>
      </c>
      <c r="U18" s="25">
        <f t="shared" si="3"/>
        <v>0</v>
      </c>
      <c r="V18" s="25">
        <f t="shared" si="3"/>
        <v>0</v>
      </c>
      <c r="W18" s="25">
        <f t="shared" si="3"/>
        <v>0</v>
      </c>
      <c r="X18" s="25">
        <f t="shared" si="3"/>
        <v>0</v>
      </c>
      <c r="Y18" s="25">
        <f t="shared" si="3"/>
        <v>0</v>
      </c>
      <c r="Z18" s="25">
        <f t="shared" si="3"/>
        <v>0</v>
      </c>
      <c r="AA18" s="25">
        <f t="shared" si="3"/>
        <v>0</v>
      </c>
      <c r="AB18" s="25">
        <f t="shared" si="3"/>
        <v>0</v>
      </c>
      <c r="AC18" s="25">
        <f t="shared" si="3"/>
        <v>0</v>
      </c>
      <c r="AD18" s="25">
        <f t="shared" si="3"/>
        <v>0</v>
      </c>
      <c r="AE18" s="25">
        <f t="shared" si="3"/>
        <v>0</v>
      </c>
      <c r="AF18" s="25">
        <f t="shared" si="3"/>
        <v>0</v>
      </c>
      <c r="AG18" s="25">
        <f t="shared" si="3"/>
        <v>0</v>
      </c>
      <c r="AH18" s="3"/>
      <c r="AI18" s="3"/>
      <c r="AJ18" s="3"/>
      <c r="AK18" s="3"/>
      <c r="AL18" s="3"/>
      <c r="AM18" s="11" t="s">
        <v>30</v>
      </c>
    </row>
    <row r="19">
      <c r="A19" s="15" t="s">
        <v>31</v>
      </c>
      <c r="C19" s="26">
        <f t="shared" ref="C19:AG19" si="4">COUNTIF(C8:C12, TRUE)</f>
        <v>1</v>
      </c>
      <c r="D19" s="26">
        <f t="shared" si="4"/>
        <v>0</v>
      </c>
      <c r="E19" s="26">
        <f t="shared" si="4"/>
        <v>0</v>
      </c>
      <c r="F19" s="26">
        <f t="shared" si="4"/>
        <v>0</v>
      </c>
      <c r="G19" s="26">
        <f t="shared" si="4"/>
        <v>0</v>
      </c>
      <c r="H19" s="26">
        <f t="shared" si="4"/>
        <v>0</v>
      </c>
      <c r="I19" s="26">
        <f t="shared" si="4"/>
        <v>0</v>
      </c>
      <c r="J19" s="26">
        <f t="shared" si="4"/>
        <v>0</v>
      </c>
      <c r="K19" s="26">
        <f t="shared" si="4"/>
        <v>0</v>
      </c>
      <c r="L19" s="26">
        <f t="shared" si="4"/>
        <v>0</v>
      </c>
      <c r="M19" s="26">
        <f t="shared" si="4"/>
        <v>0</v>
      </c>
      <c r="N19" s="26">
        <f t="shared" si="4"/>
        <v>0</v>
      </c>
      <c r="O19" s="26">
        <f t="shared" si="4"/>
        <v>0</v>
      </c>
      <c r="P19" s="26">
        <f t="shared" si="4"/>
        <v>0</v>
      </c>
      <c r="Q19" s="26">
        <f t="shared" si="4"/>
        <v>0</v>
      </c>
      <c r="R19" s="26">
        <f t="shared" si="4"/>
        <v>0</v>
      </c>
      <c r="S19" s="26">
        <f t="shared" si="4"/>
        <v>0</v>
      </c>
      <c r="T19" s="26">
        <f t="shared" si="4"/>
        <v>0</v>
      </c>
      <c r="U19" s="26">
        <f t="shared" si="4"/>
        <v>0</v>
      </c>
      <c r="V19" s="26">
        <f t="shared" si="4"/>
        <v>0</v>
      </c>
      <c r="W19" s="26">
        <f t="shared" si="4"/>
        <v>0</v>
      </c>
      <c r="X19" s="26">
        <f t="shared" si="4"/>
        <v>0</v>
      </c>
      <c r="Y19" s="26">
        <f t="shared" si="4"/>
        <v>0</v>
      </c>
      <c r="Z19" s="26">
        <f t="shared" si="4"/>
        <v>0</v>
      </c>
      <c r="AA19" s="26">
        <f t="shared" si="4"/>
        <v>0</v>
      </c>
      <c r="AB19" s="26">
        <f t="shared" si="4"/>
        <v>0</v>
      </c>
      <c r="AC19" s="26">
        <f t="shared" si="4"/>
        <v>0</v>
      </c>
      <c r="AD19" s="26">
        <f t="shared" si="4"/>
        <v>0</v>
      </c>
      <c r="AE19" s="26">
        <f t="shared" si="4"/>
        <v>0</v>
      </c>
      <c r="AF19" s="26">
        <f t="shared" si="4"/>
        <v>0</v>
      </c>
      <c r="AG19" s="26">
        <f t="shared" si="4"/>
        <v>0</v>
      </c>
      <c r="AH19" s="3"/>
      <c r="AI19" s="3"/>
      <c r="AJ19" s="3"/>
      <c r="AK19" s="3"/>
      <c r="AL19" s="3"/>
      <c r="AM19" s="27" t="s">
        <v>32</v>
      </c>
    </row>
    <row r="20">
      <c r="A20" s="15" t="s">
        <v>33</v>
      </c>
      <c r="C20" s="26">
        <f t="shared" ref="C20:AG20" si="5">COUNTIF(C8:C12, FALSE)</f>
        <v>4</v>
      </c>
      <c r="D20" s="26">
        <f t="shared" si="5"/>
        <v>5</v>
      </c>
      <c r="E20" s="26">
        <f t="shared" si="5"/>
        <v>5</v>
      </c>
      <c r="F20" s="26">
        <f t="shared" si="5"/>
        <v>5</v>
      </c>
      <c r="G20" s="26">
        <f t="shared" si="5"/>
        <v>5</v>
      </c>
      <c r="H20" s="26">
        <f t="shared" si="5"/>
        <v>5</v>
      </c>
      <c r="I20" s="26">
        <f t="shared" si="5"/>
        <v>5</v>
      </c>
      <c r="J20" s="26">
        <f t="shared" si="5"/>
        <v>5</v>
      </c>
      <c r="K20" s="26">
        <f t="shared" si="5"/>
        <v>5</v>
      </c>
      <c r="L20" s="26">
        <f t="shared" si="5"/>
        <v>5</v>
      </c>
      <c r="M20" s="26">
        <f t="shared" si="5"/>
        <v>5</v>
      </c>
      <c r="N20" s="26">
        <f t="shared" si="5"/>
        <v>5</v>
      </c>
      <c r="O20" s="26">
        <f t="shared" si="5"/>
        <v>5</v>
      </c>
      <c r="P20" s="26">
        <f t="shared" si="5"/>
        <v>5</v>
      </c>
      <c r="Q20" s="26">
        <f t="shared" si="5"/>
        <v>5</v>
      </c>
      <c r="R20" s="26">
        <f t="shared" si="5"/>
        <v>5</v>
      </c>
      <c r="S20" s="26">
        <f t="shared" si="5"/>
        <v>5</v>
      </c>
      <c r="T20" s="26">
        <f t="shared" si="5"/>
        <v>5</v>
      </c>
      <c r="U20" s="26">
        <f t="shared" si="5"/>
        <v>5</v>
      </c>
      <c r="V20" s="26">
        <f t="shared" si="5"/>
        <v>5</v>
      </c>
      <c r="W20" s="26">
        <f t="shared" si="5"/>
        <v>5</v>
      </c>
      <c r="X20" s="26">
        <f t="shared" si="5"/>
        <v>5</v>
      </c>
      <c r="Y20" s="26">
        <f t="shared" si="5"/>
        <v>5</v>
      </c>
      <c r="Z20" s="26">
        <f t="shared" si="5"/>
        <v>5</v>
      </c>
      <c r="AA20" s="26">
        <f t="shared" si="5"/>
        <v>5</v>
      </c>
      <c r="AB20" s="26">
        <f t="shared" si="5"/>
        <v>5</v>
      </c>
      <c r="AC20" s="26">
        <f t="shared" si="5"/>
        <v>5</v>
      </c>
      <c r="AD20" s="26">
        <f t="shared" si="5"/>
        <v>5</v>
      </c>
      <c r="AE20" s="26">
        <f t="shared" si="5"/>
        <v>5</v>
      </c>
      <c r="AF20" s="26">
        <f t="shared" si="5"/>
        <v>5</v>
      </c>
      <c r="AG20" s="26">
        <f t="shared" si="5"/>
        <v>5</v>
      </c>
      <c r="AH20" s="3"/>
      <c r="AI20" s="3"/>
      <c r="AJ20" s="3"/>
      <c r="AK20" s="3"/>
      <c r="AL20" s="3"/>
    </row>
    <row r="21">
      <c r="AD21" s="28"/>
      <c r="AE21" s="28"/>
      <c r="AF21" s="28"/>
      <c r="AG21" s="28"/>
      <c r="AH21" s="28"/>
      <c r="AI21" s="3"/>
      <c r="AJ21" s="3"/>
      <c r="AK21" s="3"/>
      <c r="AL21" s="3"/>
    </row>
    <row r="22">
      <c r="AD22" s="28"/>
      <c r="AE22" s="28"/>
      <c r="AF22" s="28"/>
      <c r="AG22" s="28"/>
      <c r="AH22" s="28"/>
      <c r="AI22" s="3"/>
      <c r="AJ22" s="3"/>
      <c r="AK22" s="3"/>
      <c r="AL22" s="3"/>
    </row>
    <row r="23">
      <c r="AI23" s="3"/>
      <c r="AJ23" s="3"/>
      <c r="AK23" s="3"/>
      <c r="AL23" s="3"/>
    </row>
    <row r="24">
      <c r="AI24" s="3"/>
      <c r="AJ24" s="3"/>
      <c r="AK24" s="3"/>
      <c r="AL24" s="3"/>
    </row>
    <row r="25">
      <c r="AI25" s="3"/>
      <c r="AJ25" s="3"/>
      <c r="AK25" s="3"/>
      <c r="AL25" s="3"/>
    </row>
    <row r="26">
      <c r="AD26" s="28"/>
      <c r="AE26" s="28"/>
      <c r="AF26" s="28"/>
      <c r="AG26" s="28"/>
      <c r="AH26" s="28"/>
      <c r="AI26" s="3"/>
      <c r="AJ26" s="3"/>
      <c r="AK26" s="3"/>
      <c r="AL26" s="3"/>
    </row>
    <row r="27"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</row>
    <row r="28"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</row>
    <row r="29">
      <c r="AD29" s="28"/>
      <c r="AE29" s="28"/>
      <c r="AF29" s="28"/>
      <c r="AG29" s="28"/>
      <c r="AH29" s="28"/>
      <c r="AM29" s="28"/>
      <c r="AN29" s="28"/>
      <c r="AO29" s="28"/>
      <c r="AP29" s="28"/>
    </row>
    <row r="30">
      <c r="AM30" s="28"/>
      <c r="AN30" s="28"/>
      <c r="AO30" s="28"/>
      <c r="AP30" s="28"/>
    </row>
    <row r="31">
      <c r="AM31" s="28"/>
      <c r="AN31" s="28"/>
      <c r="AO31" s="28"/>
      <c r="AP31" s="28"/>
    </row>
    <row r="32"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</row>
    <row r="33"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</row>
    <row r="34"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</row>
    <row r="35"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</row>
    <row r="36"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</row>
    <row r="37"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</row>
    <row r="38"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</row>
    <row r="39"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</row>
    <row r="40"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</row>
    <row r="41"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</row>
    <row r="42"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</row>
    <row r="43"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</row>
    <row r="44"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</row>
    <row r="45"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</row>
    <row r="46"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</row>
    <row r="47"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</row>
    <row r="48"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</row>
    <row r="49"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</row>
    <row r="50"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</row>
    <row r="51"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</row>
    <row r="52"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</row>
    <row r="53"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</row>
    <row r="54"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</row>
    <row r="55"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</row>
    <row r="56"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</row>
    <row r="57"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</row>
    <row r="58"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</row>
    <row r="59"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</row>
    <row r="60"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</row>
    <row r="61"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</row>
    <row r="62"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</row>
    <row r="63"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</row>
    <row r="64"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</row>
    <row r="65">
      <c r="J65" s="15" t="s">
        <v>27</v>
      </c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</row>
    <row r="66">
      <c r="J66" s="15" t="s">
        <v>25</v>
      </c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</row>
    <row r="67">
      <c r="J67" s="15" t="s">
        <v>34</v>
      </c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</row>
    <row r="68">
      <c r="J68" s="15" t="s">
        <v>26</v>
      </c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</row>
    <row r="69"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</row>
    <row r="70"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</row>
    <row r="71"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</row>
    <row r="72"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</row>
    <row r="73"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</row>
    <row r="74"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</row>
    <row r="75"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</row>
    <row r="76"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</row>
    <row r="77"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</row>
    <row r="78"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</row>
    <row r="79"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</row>
    <row r="80"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</row>
    <row r="81"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</row>
    <row r="82"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</row>
    <row r="83"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</row>
    <row r="84"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</row>
    <row r="85"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</row>
    <row r="86"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</row>
    <row r="87"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</row>
    <row r="88"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</row>
    <row r="89"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</row>
    <row r="90"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</row>
    <row r="91"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</row>
    <row r="92"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</row>
    <row r="93"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</row>
    <row r="94"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</row>
    <row r="95"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</row>
    <row r="96"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</row>
    <row r="97"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</row>
    <row r="98"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</row>
    <row r="99"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</row>
    <row r="100"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</row>
    <row r="101"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</row>
    <row r="102"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</row>
    <row r="103"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</row>
    <row r="104"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</row>
    <row r="105"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</row>
    <row r="106"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</row>
    <row r="107"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</row>
    <row r="108"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</row>
    <row r="109"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</row>
    <row r="110"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</row>
    <row r="111"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</row>
    <row r="112"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</row>
    <row r="113"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</row>
    <row r="114"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</row>
    <row r="115"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</row>
    <row r="116"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</row>
    <row r="117"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</row>
    <row r="118"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</row>
    <row r="119"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</row>
    <row r="120"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</row>
    <row r="121"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</row>
    <row r="122"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</row>
    <row r="123"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</row>
    <row r="124"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</row>
    <row r="125"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</row>
    <row r="126"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</row>
    <row r="127"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</row>
    <row r="128"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</row>
    <row r="129"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</row>
    <row r="130"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</row>
    <row r="131"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</row>
    <row r="132"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</row>
    <row r="133"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</row>
    <row r="134"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</row>
    <row r="135"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</row>
    <row r="136"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</row>
    <row r="137"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</row>
    <row r="138"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</row>
    <row r="139"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</row>
    <row r="140"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</row>
    <row r="141"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</row>
    <row r="142"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</row>
    <row r="143"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</row>
    <row r="144"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</row>
    <row r="145"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</row>
    <row r="146"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</row>
    <row r="147"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</row>
    <row r="148"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</row>
    <row r="149"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</row>
    <row r="150"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</row>
    <row r="151"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</row>
    <row r="152"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</row>
    <row r="153"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</row>
    <row r="154"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</row>
    <row r="155"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</row>
    <row r="156"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</row>
    <row r="157"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</row>
    <row r="158"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</row>
    <row r="159"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</row>
    <row r="160"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</row>
    <row r="161"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</row>
    <row r="162"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</row>
    <row r="163"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</row>
    <row r="164"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</row>
    <row r="165"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</row>
    <row r="166"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</row>
    <row r="167"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</row>
    <row r="168"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</row>
    <row r="169"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</row>
    <row r="170"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</row>
    <row r="171"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</row>
    <row r="172"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</row>
    <row r="173"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</row>
    <row r="174"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</row>
    <row r="175"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</row>
    <row r="176"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</row>
    <row r="177"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</row>
    <row r="178"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</row>
    <row r="179"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</row>
    <row r="180"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</row>
    <row r="181"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</row>
    <row r="182"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</row>
    <row r="183"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</row>
    <row r="184"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</row>
    <row r="185"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</row>
    <row r="186"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</row>
    <row r="187"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</row>
    <row r="188"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</row>
    <row r="189"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</row>
    <row r="190"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</row>
    <row r="191"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</row>
    <row r="192"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</row>
    <row r="193"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</row>
    <row r="194"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</row>
    <row r="195"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</row>
    <row r="196"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</row>
    <row r="197"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</row>
    <row r="198"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</row>
    <row r="199"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</row>
    <row r="200"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</row>
    <row r="201"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</row>
    <row r="202"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</row>
    <row r="203"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</row>
    <row r="204"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</row>
    <row r="205"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</row>
    <row r="206"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</row>
    <row r="207"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</row>
    <row r="208"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</row>
    <row r="209"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</row>
    <row r="210"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</row>
    <row r="211"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</row>
    <row r="212"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</row>
    <row r="213"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</row>
    <row r="214"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</row>
    <row r="215"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</row>
    <row r="216"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</row>
    <row r="217"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</row>
    <row r="218"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</row>
    <row r="219"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</row>
    <row r="220"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</row>
    <row r="221"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</row>
    <row r="222"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</row>
    <row r="223"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</row>
    <row r="224"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</row>
    <row r="225"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</row>
    <row r="226"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</row>
    <row r="227"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</row>
    <row r="228"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</row>
    <row r="229"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</row>
    <row r="230"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</row>
    <row r="231"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</row>
    <row r="232"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</row>
    <row r="233"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</row>
    <row r="234"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</row>
    <row r="235"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</row>
    <row r="236"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</row>
    <row r="237"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</row>
    <row r="238"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</row>
    <row r="239"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</row>
    <row r="240"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</row>
    <row r="241"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</row>
    <row r="242"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</row>
    <row r="243"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</row>
    <row r="244"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</row>
    <row r="245"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</row>
    <row r="246"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</row>
    <row r="247"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</row>
    <row r="248"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</row>
    <row r="249"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</row>
    <row r="250"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</row>
    <row r="251"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</row>
    <row r="252"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</row>
    <row r="253"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</row>
    <row r="254"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</row>
    <row r="255"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</row>
    <row r="256"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</row>
    <row r="257"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</row>
    <row r="258"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</row>
    <row r="259"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</row>
    <row r="260"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</row>
    <row r="261"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</row>
    <row r="262"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</row>
    <row r="263"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</row>
    <row r="264"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</row>
    <row r="265"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</row>
    <row r="266"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</row>
    <row r="267"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</row>
    <row r="268"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</row>
    <row r="269"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</row>
    <row r="270"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</row>
    <row r="271"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</row>
    <row r="272"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</row>
    <row r="273"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</row>
    <row r="274"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</row>
    <row r="275"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</row>
    <row r="276"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</row>
    <row r="277"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</row>
    <row r="278"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</row>
    <row r="279"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</row>
    <row r="280"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</row>
    <row r="281"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</row>
    <row r="282"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</row>
    <row r="283"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</row>
    <row r="284"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</row>
    <row r="285"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</row>
    <row r="286"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</row>
    <row r="287"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</row>
    <row r="288"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</row>
    <row r="289"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</row>
    <row r="290"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</row>
    <row r="291"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</row>
    <row r="292"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</row>
    <row r="293"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</row>
    <row r="294"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</row>
    <row r="295"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</row>
    <row r="296"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</row>
    <row r="297"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</row>
    <row r="298"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</row>
    <row r="299"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</row>
    <row r="300"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</row>
    <row r="301"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</row>
    <row r="302"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</row>
    <row r="303"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</row>
    <row r="304"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</row>
    <row r="305"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</row>
    <row r="306"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</row>
    <row r="307"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</row>
    <row r="308"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</row>
    <row r="309"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</row>
    <row r="310"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</row>
    <row r="311"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</row>
    <row r="312"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</row>
    <row r="313"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</row>
    <row r="314"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</row>
    <row r="315"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</row>
    <row r="316"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</row>
    <row r="317"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</row>
    <row r="318"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</row>
    <row r="319"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</row>
    <row r="320"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</row>
    <row r="321"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</row>
    <row r="322"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</row>
    <row r="323"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</row>
    <row r="324"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</row>
    <row r="325"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</row>
    <row r="326"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</row>
    <row r="327"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</row>
    <row r="328"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</row>
    <row r="329"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</row>
    <row r="330"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</row>
    <row r="331"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</row>
    <row r="332"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</row>
    <row r="333"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</row>
    <row r="334"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</row>
    <row r="335"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</row>
    <row r="336"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</row>
    <row r="337"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</row>
    <row r="338"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</row>
    <row r="339"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</row>
    <row r="340"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</row>
    <row r="341"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</row>
    <row r="342"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</row>
    <row r="343"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</row>
    <row r="344"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</row>
    <row r="345"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</row>
    <row r="346"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</row>
    <row r="347"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</row>
    <row r="348"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</row>
    <row r="349"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</row>
    <row r="350"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</row>
    <row r="351"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</row>
    <row r="352"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</row>
    <row r="353"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</row>
    <row r="354"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</row>
    <row r="355"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</row>
    <row r="356"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</row>
    <row r="357"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</row>
    <row r="358"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</row>
    <row r="359"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</row>
    <row r="360"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</row>
    <row r="361"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</row>
    <row r="362"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</row>
    <row r="363"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</row>
    <row r="364"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</row>
    <row r="365"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</row>
    <row r="366"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</row>
    <row r="367"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</row>
    <row r="368"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</row>
    <row r="369"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</row>
    <row r="370"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</row>
    <row r="371"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</row>
    <row r="372"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</row>
    <row r="373"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</row>
    <row r="374"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</row>
    <row r="375"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</row>
    <row r="376"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</row>
    <row r="377"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</row>
    <row r="378"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</row>
    <row r="379"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</row>
    <row r="380"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</row>
    <row r="381"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</row>
    <row r="382"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</row>
    <row r="383"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</row>
    <row r="384"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</row>
    <row r="385"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</row>
    <row r="386"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</row>
    <row r="387"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</row>
    <row r="388"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</row>
    <row r="389"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</row>
    <row r="390"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</row>
    <row r="391"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</row>
    <row r="392"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</row>
    <row r="393"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</row>
    <row r="394"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</row>
    <row r="395"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</row>
    <row r="396"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</row>
    <row r="397"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</row>
    <row r="398"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</row>
    <row r="399"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</row>
    <row r="400"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</row>
    <row r="401"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</row>
    <row r="402"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</row>
    <row r="403"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</row>
    <row r="404"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</row>
    <row r="405"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</row>
    <row r="406"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</row>
    <row r="407"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</row>
    <row r="408"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</row>
    <row r="409"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</row>
    <row r="410"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</row>
    <row r="411"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</row>
    <row r="412"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</row>
    <row r="413"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</row>
    <row r="414"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</row>
    <row r="415"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</row>
    <row r="416"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</row>
    <row r="417"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</row>
    <row r="418"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</row>
    <row r="419"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</row>
    <row r="420"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</row>
    <row r="421"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</row>
    <row r="422"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</row>
    <row r="423"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</row>
    <row r="424"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</row>
    <row r="425"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</row>
    <row r="426"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</row>
    <row r="427"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</row>
    <row r="428"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</row>
    <row r="429"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</row>
    <row r="430"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</row>
    <row r="431"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</row>
    <row r="432"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</row>
    <row r="433"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</row>
    <row r="434"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</row>
    <row r="435"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</row>
    <row r="436"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</row>
    <row r="437"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</row>
    <row r="438"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</row>
    <row r="439"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</row>
    <row r="440"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</row>
    <row r="441"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</row>
    <row r="442"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</row>
    <row r="443"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</row>
    <row r="444"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</row>
    <row r="445"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</row>
    <row r="446"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</row>
    <row r="447"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</row>
    <row r="448"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</row>
    <row r="449"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</row>
    <row r="450"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</row>
    <row r="451"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</row>
    <row r="452"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</row>
    <row r="453"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</row>
    <row r="454"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</row>
    <row r="455"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</row>
    <row r="456"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</row>
    <row r="457"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</row>
    <row r="458"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</row>
    <row r="459"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</row>
    <row r="460"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</row>
    <row r="461"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</row>
    <row r="462"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</row>
    <row r="463"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</row>
    <row r="464"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</row>
    <row r="465"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</row>
    <row r="466"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</row>
    <row r="467"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</row>
    <row r="468"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</row>
    <row r="469"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</row>
    <row r="470"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</row>
    <row r="471"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</row>
    <row r="472"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</row>
    <row r="473"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</row>
    <row r="474"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</row>
    <row r="475"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</row>
    <row r="476"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</row>
    <row r="477"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</row>
    <row r="478"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</row>
    <row r="479"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</row>
    <row r="480"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</row>
    <row r="481"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</row>
    <row r="482"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</row>
    <row r="483"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</row>
    <row r="484"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</row>
    <row r="485"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</row>
    <row r="486"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</row>
    <row r="487"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</row>
    <row r="488"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</row>
    <row r="489"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</row>
    <row r="490"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</row>
    <row r="491"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</row>
    <row r="492"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</row>
    <row r="493"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</row>
    <row r="494"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</row>
    <row r="495"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</row>
    <row r="496"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</row>
    <row r="497"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</row>
    <row r="498"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</row>
    <row r="499"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</row>
    <row r="500"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</row>
    <row r="501"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</row>
    <row r="502"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</row>
    <row r="503"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</row>
    <row r="504"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</row>
    <row r="505"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</row>
    <row r="506"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</row>
    <row r="507"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</row>
    <row r="508"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</row>
    <row r="509"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</row>
    <row r="510"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</row>
    <row r="511"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</row>
    <row r="512"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</row>
    <row r="513"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</row>
    <row r="514"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</row>
    <row r="515"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</row>
    <row r="516"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</row>
    <row r="517"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</row>
    <row r="518"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</row>
    <row r="519"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</row>
    <row r="520"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</row>
    <row r="521"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</row>
    <row r="522"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</row>
    <row r="523"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</row>
    <row r="524"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</row>
    <row r="525"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</row>
    <row r="526"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</row>
    <row r="527"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</row>
    <row r="528"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</row>
    <row r="529"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</row>
    <row r="530"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</row>
    <row r="531"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</row>
    <row r="532"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</row>
    <row r="533"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</row>
    <row r="534"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</row>
    <row r="535"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</row>
    <row r="536"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</row>
    <row r="537"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</row>
    <row r="538"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</row>
    <row r="539"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</row>
    <row r="540"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</row>
    <row r="541"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</row>
    <row r="542"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</row>
    <row r="543"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</row>
    <row r="544"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</row>
    <row r="545"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</row>
    <row r="546"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</row>
    <row r="547"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</row>
    <row r="548"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</row>
    <row r="549"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</row>
    <row r="550"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</row>
    <row r="551"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</row>
    <row r="552"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</row>
    <row r="553"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</row>
    <row r="554"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</row>
    <row r="555"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</row>
    <row r="556"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</row>
    <row r="557"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</row>
    <row r="558"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</row>
    <row r="559"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</row>
    <row r="560"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</row>
    <row r="561"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</row>
    <row r="562"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</row>
    <row r="563"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</row>
    <row r="564"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</row>
    <row r="565"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</row>
    <row r="566"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</row>
    <row r="567"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</row>
    <row r="568"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</row>
    <row r="569"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</row>
    <row r="570"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</row>
    <row r="571"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</row>
    <row r="572"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</row>
    <row r="573"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</row>
    <row r="574"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</row>
    <row r="575"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</row>
    <row r="576"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</row>
    <row r="577"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</row>
    <row r="578"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</row>
    <row r="579"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</row>
    <row r="580"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</row>
    <row r="581"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</row>
    <row r="582"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</row>
    <row r="583"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</row>
    <row r="584"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</row>
    <row r="585"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</row>
    <row r="586"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</row>
    <row r="587"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</row>
    <row r="588"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</row>
    <row r="589"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</row>
    <row r="590"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</row>
    <row r="591"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</row>
    <row r="592"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</row>
    <row r="593"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</row>
    <row r="594"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</row>
    <row r="595"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</row>
    <row r="596"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</row>
    <row r="597"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</row>
    <row r="598"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</row>
    <row r="599"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</row>
    <row r="600"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</row>
    <row r="601"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</row>
    <row r="602"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</row>
    <row r="603"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</row>
    <row r="604"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</row>
    <row r="605"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</row>
    <row r="606"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</row>
    <row r="607"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</row>
    <row r="608"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</row>
    <row r="609"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</row>
    <row r="610"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</row>
    <row r="611"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</row>
    <row r="612"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</row>
    <row r="613"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</row>
    <row r="614"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</row>
    <row r="615"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</row>
    <row r="616"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</row>
    <row r="617"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</row>
    <row r="618"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</row>
    <row r="619"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</row>
    <row r="620"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</row>
    <row r="621"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</row>
    <row r="622"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</row>
    <row r="623"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</row>
    <row r="624"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</row>
    <row r="625"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</row>
    <row r="626"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</row>
    <row r="627"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</row>
    <row r="628"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</row>
    <row r="629"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</row>
    <row r="630"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</row>
    <row r="631"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</row>
    <row r="632"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</row>
    <row r="633"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</row>
    <row r="634"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</row>
    <row r="635"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</row>
    <row r="636"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</row>
    <row r="637"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</row>
    <row r="638"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</row>
    <row r="639"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</row>
    <row r="640"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</row>
    <row r="641"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</row>
    <row r="642"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</row>
    <row r="643"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</row>
    <row r="644"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</row>
    <row r="645"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</row>
    <row r="646"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</row>
    <row r="647"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</row>
    <row r="648"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</row>
    <row r="649"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</row>
    <row r="650"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</row>
    <row r="651"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</row>
    <row r="652"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</row>
    <row r="653"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</row>
    <row r="654"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</row>
    <row r="655"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</row>
    <row r="656"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</row>
    <row r="657"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</row>
    <row r="658"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</row>
    <row r="659"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</row>
    <row r="660"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</row>
    <row r="661"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</row>
    <row r="662"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</row>
    <row r="663"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</row>
    <row r="664"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</row>
    <row r="665"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</row>
    <row r="666"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</row>
    <row r="667"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</row>
    <row r="668"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</row>
    <row r="669"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</row>
    <row r="670"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</row>
    <row r="671"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</row>
    <row r="672"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</row>
    <row r="673"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</row>
    <row r="674"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</row>
    <row r="675"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</row>
    <row r="676"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</row>
    <row r="677"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</row>
    <row r="678"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</row>
    <row r="679"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</row>
    <row r="680"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</row>
    <row r="681"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</row>
    <row r="682"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</row>
    <row r="683"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</row>
    <row r="684"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</row>
    <row r="685"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</row>
    <row r="686"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</row>
    <row r="687"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</row>
    <row r="688"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</row>
    <row r="689"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</row>
    <row r="690"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</row>
    <row r="691"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</row>
    <row r="692"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</row>
    <row r="693"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</row>
    <row r="694"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</row>
    <row r="695"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</row>
    <row r="696"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</row>
    <row r="697"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</row>
    <row r="698"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</row>
    <row r="699"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</row>
    <row r="700"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</row>
    <row r="701"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</row>
    <row r="702"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</row>
    <row r="703"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</row>
    <row r="704"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</row>
    <row r="705"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</row>
    <row r="706"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</row>
    <row r="707"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</row>
    <row r="708"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</row>
    <row r="709"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</row>
    <row r="710"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</row>
    <row r="711"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</row>
    <row r="712"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</row>
    <row r="713"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</row>
    <row r="714"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</row>
    <row r="715"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</row>
    <row r="716"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</row>
    <row r="717"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</row>
    <row r="718"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</row>
    <row r="719"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</row>
    <row r="720"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</row>
    <row r="721"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</row>
    <row r="722"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</row>
    <row r="723"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</row>
    <row r="724"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</row>
    <row r="725"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</row>
    <row r="726"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</row>
    <row r="727"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</row>
    <row r="728"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</row>
    <row r="729"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</row>
    <row r="730"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</row>
    <row r="731"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</row>
    <row r="732"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</row>
    <row r="733"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</row>
    <row r="734"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</row>
    <row r="735"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</row>
    <row r="736"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</row>
    <row r="737"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</row>
    <row r="738"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</row>
    <row r="739"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</row>
    <row r="740"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</row>
    <row r="741"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</row>
    <row r="742"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</row>
    <row r="743"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</row>
    <row r="744"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</row>
    <row r="745"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</row>
    <row r="746"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</row>
    <row r="747"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</row>
    <row r="748"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</row>
    <row r="749"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</row>
    <row r="750"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</row>
    <row r="751"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</row>
    <row r="752"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</row>
    <row r="753"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</row>
    <row r="754"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</row>
    <row r="755"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</row>
    <row r="756"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</row>
    <row r="757"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</row>
    <row r="758"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</row>
    <row r="759"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</row>
    <row r="760"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</row>
    <row r="761"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</row>
    <row r="762"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</row>
    <row r="763"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</row>
    <row r="764"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</row>
    <row r="765"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</row>
    <row r="766"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</row>
    <row r="767"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</row>
    <row r="768"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</row>
    <row r="769"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</row>
    <row r="770"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</row>
    <row r="771"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</row>
    <row r="772"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</row>
    <row r="773"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</row>
    <row r="774"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</row>
    <row r="775"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</row>
    <row r="776"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</row>
    <row r="777"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</row>
    <row r="778"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</row>
    <row r="779"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</row>
    <row r="780"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</row>
    <row r="781"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</row>
    <row r="782"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</row>
    <row r="783"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</row>
    <row r="784"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</row>
    <row r="785"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</row>
    <row r="786"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</row>
    <row r="787"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</row>
    <row r="788"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</row>
    <row r="789"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</row>
    <row r="790"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</row>
    <row r="791"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</row>
    <row r="792"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</row>
    <row r="793"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</row>
    <row r="794"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</row>
    <row r="795"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</row>
    <row r="796"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</row>
    <row r="797"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</row>
    <row r="798"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</row>
    <row r="799"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</row>
    <row r="800"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</row>
    <row r="801"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</row>
    <row r="802"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</row>
    <row r="803"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</row>
    <row r="804"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</row>
    <row r="805"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</row>
    <row r="806"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</row>
    <row r="807"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</row>
    <row r="808"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</row>
    <row r="809"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</row>
    <row r="810"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</row>
    <row r="811"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</row>
    <row r="812"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</row>
    <row r="813"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</row>
    <row r="814"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</row>
    <row r="815"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</row>
    <row r="816"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</row>
    <row r="817"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</row>
    <row r="818"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</row>
    <row r="819"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</row>
    <row r="820"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</row>
    <row r="821"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</row>
    <row r="822"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</row>
    <row r="823"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</row>
    <row r="824"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</row>
    <row r="825"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</row>
    <row r="826"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</row>
    <row r="827"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</row>
    <row r="828"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</row>
    <row r="829"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</row>
    <row r="830"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</row>
    <row r="831"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</row>
    <row r="832"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</row>
    <row r="833"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</row>
    <row r="834"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</row>
    <row r="835"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</row>
    <row r="836"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</row>
    <row r="837"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</row>
    <row r="838"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</row>
    <row r="839"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</row>
    <row r="840"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</row>
    <row r="841"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</row>
    <row r="842"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</row>
    <row r="843"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</row>
    <row r="844"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</row>
    <row r="845"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</row>
    <row r="846"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</row>
    <row r="847"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</row>
    <row r="848"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</row>
    <row r="849"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</row>
    <row r="850"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</row>
    <row r="851"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</row>
    <row r="852"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</row>
    <row r="853"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</row>
    <row r="854"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</row>
    <row r="855"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</row>
    <row r="856"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</row>
    <row r="857"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</row>
    <row r="858"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</row>
    <row r="859"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</row>
    <row r="860"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</row>
    <row r="861"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</row>
    <row r="862"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</row>
    <row r="863"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</row>
    <row r="864"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</row>
    <row r="865"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</row>
    <row r="866"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</row>
    <row r="867"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</row>
    <row r="868"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</row>
    <row r="869"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</row>
    <row r="870"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</row>
    <row r="871"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</row>
    <row r="872"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</row>
    <row r="873"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</row>
    <row r="874"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</row>
    <row r="875"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</row>
    <row r="876"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</row>
    <row r="877"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</row>
    <row r="878"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</row>
    <row r="879"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</row>
    <row r="880"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</row>
    <row r="881"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</row>
    <row r="882"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</row>
    <row r="883"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</row>
    <row r="884"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</row>
    <row r="885"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</row>
    <row r="886"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</row>
    <row r="887"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</row>
    <row r="888"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</row>
    <row r="889"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</row>
    <row r="890"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</row>
    <row r="891"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</row>
    <row r="892"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</row>
    <row r="893"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</row>
    <row r="894"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</row>
    <row r="895"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</row>
    <row r="896"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</row>
    <row r="897"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</row>
    <row r="898"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</row>
    <row r="899"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</row>
    <row r="900"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</row>
    <row r="901"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</row>
    <row r="902"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</row>
    <row r="903"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</row>
    <row r="904"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</row>
    <row r="905"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</row>
    <row r="906"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</row>
    <row r="907"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</row>
    <row r="908"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</row>
    <row r="909"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</row>
    <row r="910"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</row>
    <row r="911"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</row>
    <row r="912"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</row>
    <row r="913"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</row>
    <row r="914"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</row>
    <row r="915"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</row>
    <row r="916"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</row>
    <row r="917"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</row>
    <row r="918"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</row>
    <row r="919"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</row>
    <row r="920"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</row>
    <row r="921"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</row>
    <row r="922"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</row>
    <row r="923"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</row>
    <row r="924"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</row>
    <row r="925"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</row>
    <row r="926"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</row>
    <row r="927"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</row>
    <row r="928"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</row>
    <row r="929"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</row>
    <row r="930"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</row>
    <row r="931"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</row>
    <row r="932"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</row>
    <row r="933"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</row>
    <row r="934"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</row>
    <row r="935"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</row>
    <row r="936"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</row>
    <row r="937"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</row>
    <row r="938"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</row>
    <row r="939"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</row>
    <row r="940"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</row>
    <row r="941"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</row>
    <row r="942"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</row>
    <row r="943"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</row>
    <row r="944"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</row>
    <row r="945"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</row>
    <row r="946"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</row>
    <row r="947"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</row>
    <row r="948"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</row>
    <row r="949"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</row>
    <row r="950"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</row>
    <row r="951"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</row>
    <row r="952"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</row>
    <row r="953"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</row>
    <row r="954"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</row>
    <row r="955"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</row>
    <row r="956"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</row>
    <row r="957"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</row>
    <row r="958"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</row>
    <row r="959"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</row>
    <row r="960"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</row>
    <row r="961"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</row>
    <row r="962"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</row>
    <row r="963"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</row>
    <row r="964"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</row>
    <row r="965"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</row>
    <row r="966"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</row>
    <row r="967"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</row>
    <row r="968"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</row>
    <row r="969"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</row>
    <row r="970"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</row>
    <row r="971"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</row>
    <row r="972"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</row>
    <row r="973"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</row>
    <row r="974"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</row>
    <row r="975"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</row>
    <row r="976"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</row>
    <row r="977"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</row>
    <row r="978"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</row>
    <row r="979"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</row>
    <row r="980"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</row>
    <row r="981"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</row>
    <row r="982"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</row>
    <row r="983"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</row>
    <row r="984"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</row>
    <row r="985"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</row>
    <row r="986"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</row>
    <row r="987"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</row>
    <row r="988"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</row>
    <row r="989"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</row>
    <row r="990"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</row>
    <row r="991"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</row>
    <row r="992"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</row>
    <row r="993"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</row>
    <row r="994"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</row>
    <row r="995"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</row>
    <row r="996"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</row>
    <row r="997"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</row>
    <row r="998"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</row>
    <row r="999"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</row>
    <row r="1000"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</row>
    <row r="1001">
      <c r="AD1001" s="28"/>
      <c r="AE1001" s="28"/>
      <c r="AF1001" s="28"/>
      <c r="AG1001" s="28"/>
      <c r="AH1001" s="28"/>
      <c r="AI1001" s="28"/>
      <c r="AJ1001" s="28"/>
      <c r="AK1001" s="28"/>
      <c r="AL1001" s="28"/>
      <c r="AM1001" s="28"/>
      <c r="AN1001" s="28"/>
      <c r="AO1001" s="28"/>
      <c r="AP1001" s="28"/>
    </row>
    <row r="1002">
      <c r="AD1002" s="28"/>
      <c r="AE1002" s="28"/>
      <c r="AF1002" s="28"/>
      <c r="AG1002" s="28"/>
      <c r="AH1002" s="28"/>
      <c r="AI1002" s="28"/>
      <c r="AJ1002" s="28"/>
      <c r="AK1002" s="28"/>
      <c r="AL1002" s="28"/>
      <c r="AM1002" s="28"/>
      <c r="AN1002" s="28"/>
      <c r="AO1002" s="28"/>
      <c r="AP1002" s="28"/>
    </row>
  </sheetData>
  <mergeCells count="23">
    <mergeCell ref="I3:AG3"/>
    <mergeCell ref="A1:H3"/>
    <mergeCell ref="I1:N1"/>
    <mergeCell ref="O1:V1"/>
    <mergeCell ref="W1:AC1"/>
    <mergeCell ref="AD1:AG1"/>
    <mergeCell ref="I2:N2"/>
    <mergeCell ref="O2:V2"/>
    <mergeCell ref="J5:P5"/>
    <mergeCell ref="Q5:W5"/>
    <mergeCell ref="AM18:AP18"/>
    <mergeCell ref="A18:B18"/>
    <mergeCell ref="A19:B19"/>
    <mergeCell ref="A20:B20"/>
    <mergeCell ref="A5:B7"/>
    <mergeCell ref="C5:I5"/>
    <mergeCell ref="AE5:AK5"/>
    <mergeCell ref="AM5:AP6"/>
    <mergeCell ref="AM19:AP26"/>
    <mergeCell ref="A4:AG4"/>
    <mergeCell ref="W2:AC2"/>
    <mergeCell ref="AD2:AG2"/>
    <mergeCell ref="X5:AD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26.25"/>
    <col customWidth="1" min="3" max="22" width="4.13"/>
    <col customWidth="1" min="23" max="23" width="4.5"/>
    <col customWidth="1" min="24" max="35" width="4.13"/>
    <col customWidth="1" min="36" max="36" width="5.38"/>
    <col customWidth="1" min="37" max="37" width="3.75"/>
    <col customWidth="1" min="38" max="38" width="5.25"/>
    <col customWidth="1" min="39" max="39" width="4.5"/>
    <col customWidth="1" min="40" max="40" width="4.75"/>
    <col customWidth="1" min="41" max="41" width="6.88"/>
    <col customWidth="1" min="42" max="42" width="13.25"/>
  </cols>
  <sheetData>
    <row r="1" ht="36.75" customHeight="1">
      <c r="A1" s="1" t="s">
        <v>0</v>
      </c>
      <c r="I1" s="2" t="s">
        <v>1</v>
      </c>
      <c r="O1" s="2" t="s">
        <v>2</v>
      </c>
      <c r="W1" s="2" t="s">
        <v>3</v>
      </c>
      <c r="AD1" s="2" t="s">
        <v>4</v>
      </c>
      <c r="AH1" s="3"/>
      <c r="AI1" s="3"/>
      <c r="AJ1" s="3"/>
      <c r="AK1" s="3"/>
      <c r="AL1" s="3"/>
    </row>
    <row r="2">
      <c r="I2" s="2">
        <v>8.0</v>
      </c>
      <c r="O2" s="4">
        <f>COUNTIF(C8:AG12, TRUE)</f>
        <v>1</v>
      </c>
      <c r="W2" s="5" t="str">
        <f>IFERROR(__xludf.DUMMYFUNCTION("SPARKLINE(AD2, {""charttype"",""bar""; ""max"",1;""color1"",""green""; ""empty"",""zero""})"),"")</f>
        <v/>
      </c>
      <c r="X2" s="6"/>
      <c r="Y2" s="6"/>
      <c r="Z2" s="6"/>
      <c r="AA2" s="6"/>
      <c r="AB2" s="6"/>
      <c r="AC2" s="7"/>
      <c r="AD2" s="8">
        <f>SUM(O2) / (COUNTA(C8:AG8) * ROWS(C8:AG15))</f>
        <v>0.004032258065</v>
      </c>
      <c r="AH2" s="3"/>
      <c r="AI2" s="3"/>
      <c r="AJ2" s="3"/>
      <c r="AK2" s="3"/>
      <c r="AL2" s="3"/>
    </row>
    <row r="3">
      <c r="I3" s="9"/>
      <c r="AH3" s="3"/>
      <c r="AI3" s="3"/>
      <c r="AJ3" s="3"/>
      <c r="AK3" s="3"/>
      <c r="AL3" s="3"/>
    </row>
    <row r="4">
      <c r="A4" s="10"/>
      <c r="AH4" s="3"/>
      <c r="AI4" s="3"/>
      <c r="AJ4" s="3"/>
      <c r="AK4" s="3"/>
      <c r="AL4" s="3"/>
      <c r="AM4" s="3"/>
      <c r="AN4" s="3"/>
      <c r="AO4" s="3"/>
      <c r="AP4" s="3"/>
    </row>
    <row r="5">
      <c r="A5" s="11" t="s">
        <v>5</v>
      </c>
      <c r="C5" s="12" t="s">
        <v>6</v>
      </c>
      <c r="J5" s="11" t="s">
        <v>7</v>
      </c>
      <c r="Q5" s="12" t="s">
        <v>8</v>
      </c>
      <c r="X5" s="11" t="s">
        <v>9</v>
      </c>
      <c r="AE5" s="12" t="s">
        <v>10</v>
      </c>
      <c r="AM5" s="13" t="s">
        <v>11</v>
      </c>
    </row>
    <row r="6"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2" t="s">
        <v>17</v>
      </c>
      <c r="I6" s="12" t="s">
        <v>18</v>
      </c>
      <c r="J6" s="11" t="s">
        <v>12</v>
      </c>
      <c r="K6" s="11" t="s">
        <v>13</v>
      </c>
      <c r="L6" s="11" t="s">
        <v>14</v>
      </c>
      <c r="M6" s="11" t="s">
        <v>15</v>
      </c>
      <c r="N6" s="11" t="s">
        <v>16</v>
      </c>
      <c r="O6" s="11" t="s">
        <v>17</v>
      </c>
      <c r="P6" s="11" t="s">
        <v>18</v>
      </c>
      <c r="Q6" s="12" t="s">
        <v>12</v>
      </c>
      <c r="R6" s="12" t="s">
        <v>13</v>
      </c>
      <c r="S6" s="12" t="s">
        <v>14</v>
      </c>
      <c r="T6" s="12" t="s">
        <v>15</v>
      </c>
      <c r="U6" s="12" t="s">
        <v>16</v>
      </c>
      <c r="V6" s="12" t="s">
        <v>17</v>
      </c>
      <c r="W6" s="12" t="s">
        <v>18</v>
      </c>
      <c r="X6" s="11" t="s">
        <v>12</v>
      </c>
      <c r="Y6" s="11" t="s">
        <v>13</v>
      </c>
      <c r="Z6" s="11" t="s">
        <v>14</v>
      </c>
      <c r="AA6" s="11" t="s">
        <v>15</v>
      </c>
      <c r="AB6" s="11" t="s">
        <v>16</v>
      </c>
      <c r="AC6" s="11" t="s">
        <v>17</v>
      </c>
      <c r="AD6" s="11" t="s">
        <v>18</v>
      </c>
      <c r="AE6" s="12" t="s">
        <v>12</v>
      </c>
      <c r="AF6" s="12" t="s">
        <v>13</v>
      </c>
      <c r="AG6" s="12" t="s">
        <v>14</v>
      </c>
      <c r="AH6" s="12" t="s">
        <v>15</v>
      </c>
      <c r="AI6" s="12" t="s">
        <v>16</v>
      </c>
      <c r="AJ6" s="12" t="s">
        <v>17</v>
      </c>
      <c r="AK6" s="12" t="s">
        <v>18</v>
      </c>
      <c r="AL6" s="3"/>
    </row>
    <row r="7">
      <c r="C7" s="12">
        <v>29.0</v>
      </c>
      <c r="D7" s="12">
        <v>30.0</v>
      </c>
      <c r="E7" s="12">
        <v>1.0</v>
      </c>
      <c r="F7" s="12">
        <v>2.0</v>
      </c>
      <c r="G7" s="12">
        <v>3.0</v>
      </c>
      <c r="H7" s="12">
        <v>4.0</v>
      </c>
      <c r="I7" s="12">
        <v>5.0</v>
      </c>
      <c r="J7" s="11">
        <v>6.0</v>
      </c>
      <c r="K7" s="11">
        <v>7.0</v>
      </c>
      <c r="L7" s="11">
        <v>8.0</v>
      </c>
      <c r="M7" s="11">
        <v>9.0</v>
      </c>
      <c r="N7" s="11">
        <v>10.0</v>
      </c>
      <c r="O7" s="11">
        <v>11.0</v>
      </c>
      <c r="P7" s="11">
        <v>12.0</v>
      </c>
      <c r="Q7" s="12">
        <v>13.0</v>
      </c>
      <c r="R7" s="12">
        <v>14.0</v>
      </c>
      <c r="S7" s="12">
        <v>15.0</v>
      </c>
      <c r="T7" s="12">
        <v>16.0</v>
      </c>
      <c r="U7" s="12">
        <v>17.0</v>
      </c>
      <c r="V7" s="12">
        <v>18.0</v>
      </c>
      <c r="W7" s="12">
        <v>19.0</v>
      </c>
      <c r="X7" s="11">
        <v>20.0</v>
      </c>
      <c r="Y7" s="11">
        <v>21.0</v>
      </c>
      <c r="Z7" s="11">
        <v>22.0</v>
      </c>
      <c r="AA7" s="11">
        <v>23.0</v>
      </c>
      <c r="AB7" s="11">
        <v>24.0</v>
      </c>
      <c r="AC7" s="11">
        <v>25.0</v>
      </c>
      <c r="AD7" s="11">
        <v>26.0</v>
      </c>
      <c r="AE7" s="12">
        <v>27.0</v>
      </c>
      <c r="AF7" s="12">
        <v>28.0</v>
      </c>
      <c r="AG7" s="12">
        <v>29.0</v>
      </c>
      <c r="AH7" s="12">
        <v>30.0</v>
      </c>
      <c r="AI7" s="12">
        <v>31.0</v>
      </c>
      <c r="AJ7" s="12">
        <v>1.0</v>
      </c>
      <c r="AK7" s="12">
        <v>2.0</v>
      </c>
      <c r="AL7" s="3"/>
      <c r="AM7" s="14" t="s">
        <v>19</v>
      </c>
      <c r="AN7" s="14" t="s">
        <v>20</v>
      </c>
      <c r="AO7" s="14" t="s">
        <v>21</v>
      </c>
      <c r="AP7" s="14" t="s">
        <v>3</v>
      </c>
    </row>
    <row r="8">
      <c r="A8" s="15">
        <v>1.0</v>
      </c>
      <c r="B8" s="15" t="s">
        <v>22</v>
      </c>
      <c r="C8" s="16" t="b">
        <v>1</v>
      </c>
      <c r="D8" s="16" t="b">
        <v>0</v>
      </c>
      <c r="E8" s="16" t="b">
        <v>0</v>
      </c>
      <c r="F8" s="16" t="b">
        <v>0</v>
      </c>
      <c r="G8" s="16" t="b">
        <v>0</v>
      </c>
      <c r="H8" s="16" t="b">
        <v>0</v>
      </c>
      <c r="I8" s="16" t="b">
        <v>0</v>
      </c>
      <c r="J8" s="17" t="b">
        <v>0</v>
      </c>
      <c r="K8" s="17" t="b">
        <v>0</v>
      </c>
      <c r="L8" s="17" t="b">
        <v>0</v>
      </c>
      <c r="M8" s="17" t="b">
        <v>0</v>
      </c>
      <c r="N8" s="17" t="b">
        <v>0</v>
      </c>
      <c r="O8" s="17" t="b">
        <v>0</v>
      </c>
      <c r="P8" s="17" t="b">
        <v>0</v>
      </c>
      <c r="Q8" s="16" t="b">
        <v>0</v>
      </c>
      <c r="R8" s="16" t="b">
        <v>0</v>
      </c>
      <c r="S8" s="16" t="b">
        <v>0</v>
      </c>
      <c r="T8" s="16" t="b">
        <v>0</v>
      </c>
      <c r="U8" s="16" t="b">
        <v>0</v>
      </c>
      <c r="V8" s="16" t="b">
        <v>0</v>
      </c>
      <c r="W8" s="16" t="b">
        <v>0</v>
      </c>
      <c r="X8" s="17" t="b">
        <v>0</v>
      </c>
      <c r="Y8" s="17" t="b">
        <v>0</v>
      </c>
      <c r="Z8" s="17" t="b">
        <v>0</v>
      </c>
      <c r="AA8" s="17" t="b">
        <v>0</v>
      </c>
      <c r="AB8" s="17" t="b">
        <v>0</v>
      </c>
      <c r="AC8" s="17" t="b">
        <v>0</v>
      </c>
      <c r="AD8" s="17" t="b">
        <v>0</v>
      </c>
      <c r="AE8" s="16" t="b">
        <v>0</v>
      </c>
      <c r="AF8" s="16" t="b">
        <v>0</v>
      </c>
      <c r="AG8" s="16" t="b">
        <v>0</v>
      </c>
      <c r="AH8" s="16" t="b">
        <v>0</v>
      </c>
      <c r="AI8" s="16" t="b">
        <v>0</v>
      </c>
      <c r="AJ8" s="16" t="b">
        <v>0</v>
      </c>
      <c r="AK8" s="16" t="b">
        <v>0</v>
      </c>
      <c r="AL8" s="3"/>
      <c r="AM8" s="18">
        <v>31.0</v>
      </c>
      <c r="AN8" s="18">
        <f t="shared" ref="AN8:AN15" si="1">COUNTIF(C8:AK8, TRUE)</f>
        <v>1</v>
      </c>
      <c r="AO8" s="19">
        <f t="shared" ref="AO8:AO15" si="2">SUM(AN8 / (COUNTA(C8:AK8) * ROWS(C8:AK8)))</f>
        <v>0.02857142857</v>
      </c>
      <c r="AP8" s="20" t="str">
        <f>IFERROR(__xludf.DUMMYFUNCTION("SPARKLINE(AO8, {""charttype"",""bar""; ""max"",1;""color1"",""green""; ""empty"",""zero""})"),"")</f>
        <v/>
      </c>
    </row>
    <row r="9">
      <c r="A9" s="15">
        <v>2.0</v>
      </c>
      <c r="B9" s="15" t="s">
        <v>23</v>
      </c>
      <c r="C9" s="16" t="b">
        <v>0</v>
      </c>
      <c r="D9" s="21" t="b">
        <v>0</v>
      </c>
      <c r="E9" s="16" t="b">
        <v>0</v>
      </c>
      <c r="F9" s="21" t="b">
        <v>0</v>
      </c>
      <c r="G9" s="16" t="b">
        <v>0</v>
      </c>
      <c r="H9" s="21" t="b">
        <v>0</v>
      </c>
      <c r="I9" s="21" t="b">
        <v>0</v>
      </c>
      <c r="J9" s="22" t="b">
        <v>0</v>
      </c>
      <c r="K9" s="22" t="b">
        <v>0</v>
      </c>
      <c r="L9" s="22" t="b">
        <v>0</v>
      </c>
      <c r="M9" s="22" t="b">
        <v>0</v>
      </c>
      <c r="N9" s="22" t="b">
        <v>0</v>
      </c>
      <c r="O9" s="17" t="b">
        <v>0</v>
      </c>
      <c r="P9" s="17" t="b">
        <v>0</v>
      </c>
      <c r="Q9" s="21" t="b">
        <v>0</v>
      </c>
      <c r="R9" s="16" t="b">
        <v>0</v>
      </c>
      <c r="S9" s="16" t="b">
        <v>0</v>
      </c>
      <c r="T9" s="21" t="b">
        <v>0</v>
      </c>
      <c r="U9" s="16" t="b">
        <v>0</v>
      </c>
      <c r="V9" s="16" t="b">
        <v>0</v>
      </c>
      <c r="W9" s="21" t="b">
        <v>0</v>
      </c>
      <c r="X9" s="17" t="b">
        <v>0</v>
      </c>
      <c r="Y9" s="22" t="b">
        <v>0</v>
      </c>
      <c r="Z9" s="22" t="b">
        <v>0</v>
      </c>
      <c r="AA9" s="22" t="b">
        <v>0</v>
      </c>
      <c r="AB9" s="22" t="b">
        <v>0</v>
      </c>
      <c r="AC9" s="22" t="b">
        <v>0</v>
      </c>
      <c r="AD9" s="22" t="b">
        <v>0</v>
      </c>
      <c r="AE9" s="21" t="b">
        <v>0</v>
      </c>
      <c r="AF9" s="21" t="b">
        <v>0</v>
      </c>
      <c r="AG9" s="21" t="b">
        <v>0</v>
      </c>
      <c r="AH9" s="21" t="b">
        <v>0</v>
      </c>
      <c r="AI9" s="21" t="b">
        <v>0</v>
      </c>
      <c r="AJ9" s="16" t="b">
        <v>0</v>
      </c>
      <c r="AK9" s="21" t="b">
        <v>0</v>
      </c>
      <c r="AL9" s="3"/>
      <c r="AM9" s="18">
        <v>31.0</v>
      </c>
      <c r="AN9" s="18">
        <f t="shared" si="1"/>
        <v>0</v>
      </c>
      <c r="AO9" s="19">
        <f t="shared" si="2"/>
        <v>0</v>
      </c>
      <c r="AP9" s="20" t="str">
        <f>IFERROR(__xludf.DUMMYFUNCTION("SPARKLINE(AO9, {""charttype"",""bar""; ""max"",1;""color1"",""green""; ""empty"",""zero""})"),"")</f>
        <v/>
      </c>
    </row>
    <row r="10">
      <c r="A10" s="15">
        <v>3.0</v>
      </c>
      <c r="B10" s="15" t="s">
        <v>24</v>
      </c>
      <c r="C10" s="16" t="b">
        <v>0</v>
      </c>
      <c r="D10" s="21" t="b">
        <v>0</v>
      </c>
      <c r="E10" s="16" t="b">
        <v>0</v>
      </c>
      <c r="F10" s="21" t="b">
        <v>0</v>
      </c>
      <c r="G10" s="16" t="b">
        <v>0</v>
      </c>
      <c r="H10" s="21" t="b">
        <v>0</v>
      </c>
      <c r="I10" s="16" t="b">
        <v>0</v>
      </c>
      <c r="J10" s="22" t="b">
        <v>0</v>
      </c>
      <c r="K10" s="22" t="b">
        <v>0</v>
      </c>
      <c r="L10" s="22" t="b">
        <v>0</v>
      </c>
      <c r="M10" s="22" t="b">
        <v>0</v>
      </c>
      <c r="N10" s="22" t="b">
        <v>0</v>
      </c>
      <c r="O10" s="22" t="b">
        <v>0</v>
      </c>
      <c r="P10" s="17" t="b">
        <v>0</v>
      </c>
      <c r="Q10" s="21" t="b">
        <v>0</v>
      </c>
      <c r="R10" s="21" t="b">
        <v>0</v>
      </c>
      <c r="S10" s="16" t="b">
        <v>0</v>
      </c>
      <c r="T10" s="21" t="b">
        <v>0</v>
      </c>
      <c r="U10" s="16" t="b">
        <v>0</v>
      </c>
      <c r="V10" s="16" t="b">
        <v>0</v>
      </c>
      <c r="W10" s="21" t="b">
        <v>0</v>
      </c>
      <c r="X10" s="17" t="b">
        <v>0</v>
      </c>
      <c r="Y10" s="22" t="b">
        <v>0</v>
      </c>
      <c r="Z10" s="22" t="b">
        <v>0</v>
      </c>
      <c r="AA10" s="22" t="b">
        <v>0</v>
      </c>
      <c r="AB10" s="22" t="b">
        <v>0</v>
      </c>
      <c r="AC10" s="22" t="b">
        <v>0</v>
      </c>
      <c r="AD10" s="22" t="b">
        <v>0</v>
      </c>
      <c r="AE10" s="21" t="b">
        <v>0</v>
      </c>
      <c r="AF10" s="21" t="b">
        <v>0</v>
      </c>
      <c r="AG10" s="21" t="b">
        <v>0</v>
      </c>
      <c r="AH10" s="21" t="b">
        <v>0</v>
      </c>
      <c r="AI10" s="16" t="b">
        <v>0</v>
      </c>
      <c r="AJ10" s="16" t="b">
        <v>0</v>
      </c>
      <c r="AK10" s="21" t="b">
        <v>0</v>
      </c>
      <c r="AM10" s="18">
        <v>31.0</v>
      </c>
      <c r="AN10" s="18">
        <f t="shared" si="1"/>
        <v>0</v>
      </c>
      <c r="AO10" s="19">
        <f t="shared" si="2"/>
        <v>0</v>
      </c>
      <c r="AP10" s="20" t="str">
        <f>IFERROR(__xludf.DUMMYFUNCTION("SPARKLINE(AO10, {""charttype"",""bar""; ""max"",1;""color1"",""green""; ""empty"",""zero""})"),"")</f>
        <v/>
      </c>
    </row>
    <row r="11">
      <c r="A11" s="15">
        <v>4.0</v>
      </c>
      <c r="B11" s="15" t="s">
        <v>25</v>
      </c>
      <c r="C11" s="16" t="b">
        <v>0</v>
      </c>
      <c r="D11" s="16" t="b">
        <v>0</v>
      </c>
      <c r="E11" s="16" t="b">
        <v>0</v>
      </c>
      <c r="F11" s="16" t="b">
        <v>0</v>
      </c>
      <c r="G11" s="16" t="b">
        <v>0</v>
      </c>
      <c r="H11" s="16" t="b">
        <v>0</v>
      </c>
      <c r="I11" s="16" t="b">
        <v>0</v>
      </c>
      <c r="J11" s="22" t="b">
        <v>0</v>
      </c>
      <c r="K11" s="22" t="b">
        <v>0</v>
      </c>
      <c r="L11" s="22" t="b">
        <v>0</v>
      </c>
      <c r="M11" s="22" t="b">
        <v>0</v>
      </c>
      <c r="N11" s="17" t="b">
        <v>0</v>
      </c>
      <c r="O11" s="22" t="b">
        <v>0</v>
      </c>
      <c r="P11" s="22" t="b">
        <v>0</v>
      </c>
      <c r="Q11" s="21" t="b">
        <v>0</v>
      </c>
      <c r="R11" s="16" t="b">
        <v>0</v>
      </c>
      <c r="S11" s="16" t="b">
        <v>0</v>
      </c>
      <c r="T11" s="21" t="b">
        <v>0</v>
      </c>
      <c r="U11" s="16" t="b">
        <v>0</v>
      </c>
      <c r="V11" s="16" t="b">
        <v>0</v>
      </c>
      <c r="W11" s="21" t="b">
        <v>0</v>
      </c>
      <c r="X11" s="17" t="b">
        <v>0</v>
      </c>
      <c r="Y11" s="22" t="b">
        <v>0</v>
      </c>
      <c r="Z11" s="22" t="b">
        <v>0</v>
      </c>
      <c r="AA11" s="22" t="b">
        <v>0</v>
      </c>
      <c r="AB11" s="22" t="b">
        <v>0</v>
      </c>
      <c r="AC11" s="22" t="b">
        <v>0</v>
      </c>
      <c r="AD11" s="22" t="b">
        <v>0</v>
      </c>
      <c r="AE11" s="21" t="b">
        <v>0</v>
      </c>
      <c r="AF11" s="21" t="b">
        <v>0</v>
      </c>
      <c r="AG11" s="21" t="b">
        <v>0</v>
      </c>
      <c r="AH11" s="21" t="b">
        <v>0</v>
      </c>
      <c r="AI11" s="16" t="b">
        <v>0</v>
      </c>
      <c r="AJ11" s="21" t="b">
        <v>0</v>
      </c>
      <c r="AK11" s="21" t="b">
        <v>0</v>
      </c>
      <c r="AM11" s="18">
        <v>31.0</v>
      </c>
      <c r="AN11" s="18">
        <f t="shared" si="1"/>
        <v>0</v>
      </c>
      <c r="AO11" s="19">
        <f t="shared" si="2"/>
        <v>0</v>
      </c>
      <c r="AP11" s="20" t="str">
        <f>IFERROR(__xludf.DUMMYFUNCTION("SPARKLINE(AO11, {""charttype"",""bar""; ""max"",1;""color1"",""green""; ""empty"",""zero""})"),"")</f>
        <v/>
      </c>
    </row>
    <row r="12">
      <c r="A12" s="15">
        <v>5.0</v>
      </c>
      <c r="B12" s="15" t="s">
        <v>26</v>
      </c>
      <c r="C12" s="16" t="b">
        <v>0</v>
      </c>
      <c r="D12" s="16" t="b">
        <v>0</v>
      </c>
      <c r="E12" s="21" t="b">
        <v>0</v>
      </c>
      <c r="F12" s="21" t="b">
        <v>0</v>
      </c>
      <c r="G12" s="16" t="b">
        <v>0</v>
      </c>
      <c r="H12" s="16" t="b">
        <v>0</v>
      </c>
      <c r="I12" s="16" t="b">
        <v>0</v>
      </c>
      <c r="J12" s="22" t="b">
        <v>0</v>
      </c>
      <c r="K12" s="22" t="b">
        <v>0</v>
      </c>
      <c r="L12" s="17" t="b">
        <v>0</v>
      </c>
      <c r="M12" s="17" t="b">
        <v>0</v>
      </c>
      <c r="N12" s="17" t="b">
        <v>0</v>
      </c>
      <c r="O12" s="22" t="b">
        <v>0</v>
      </c>
      <c r="P12" s="22" t="b">
        <v>0</v>
      </c>
      <c r="Q12" s="16" t="b">
        <v>0</v>
      </c>
      <c r="R12" s="16" t="b">
        <v>0</v>
      </c>
      <c r="S12" s="21" t="b">
        <v>0</v>
      </c>
      <c r="T12" s="21" t="b">
        <v>0</v>
      </c>
      <c r="U12" s="16" t="b">
        <v>0</v>
      </c>
      <c r="V12" s="16" t="b">
        <v>0</v>
      </c>
      <c r="W12" s="21" t="b">
        <v>0</v>
      </c>
      <c r="X12" s="17" t="b">
        <v>0</v>
      </c>
      <c r="Y12" s="22" t="b">
        <v>0</v>
      </c>
      <c r="Z12" s="22" t="b">
        <v>0</v>
      </c>
      <c r="AA12" s="22" t="b">
        <v>0</v>
      </c>
      <c r="AB12" s="22" t="b">
        <v>0</v>
      </c>
      <c r="AC12" s="22" t="b">
        <v>0</v>
      </c>
      <c r="AD12" s="22" t="b">
        <v>0</v>
      </c>
      <c r="AE12" s="21" t="b">
        <v>0</v>
      </c>
      <c r="AF12" s="21" t="b">
        <v>0</v>
      </c>
      <c r="AG12" s="21" t="b">
        <v>0</v>
      </c>
      <c r="AH12" s="21" t="b">
        <v>0</v>
      </c>
      <c r="AI12" s="21" t="b">
        <v>0</v>
      </c>
      <c r="AJ12" s="21" t="b">
        <v>0</v>
      </c>
      <c r="AK12" s="21" t="b">
        <v>0</v>
      </c>
      <c r="AM12" s="18">
        <v>31.0</v>
      </c>
      <c r="AN12" s="18">
        <f t="shared" si="1"/>
        <v>0</v>
      </c>
      <c r="AO12" s="19">
        <f t="shared" si="2"/>
        <v>0</v>
      </c>
      <c r="AP12" s="20" t="str">
        <f>IFERROR(__xludf.DUMMYFUNCTION("SPARKLINE(AO12, {""charttype"",""bar""; ""max"",1;""color1"",""green""; ""empty"",""zero""})"),"")</f>
        <v/>
      </c>
    </row>
    <row r="13">
      <c r="A13" s="15">
        <v>6.0</v>
      </c>
      <c r="B13" s="15" t="s">
        <v>27</v>
      </c>
      <c r="C13" s="16" t="b">
        <v>0</v>
      </c>
      <c r="D13" s="21" t="b">
        <v>0</v>
      </c>
      <c r="E13" s="21" t="b">
        <v>0</v>
      </c>
      <c r="F13" s="21" t="b">
        <v>0</v>
      </c>
      <c r="G13" s="21" t="b">
        <v>0</v>
      </c>
      <c r="H13" s="21" t="b">
        <v>0</v>
      </c>
      <c r="I13" s="16" t="b">
        <v>0</v>
      </c>
      <c r="J13" s="17" t="b">
        <v>0</v>
      </c>
      <c r="K13" s="22" t="b">
        <v>0</v>
      </c>
      <c r="L13" s="22" t="b">
        <v>0</v>
      </c>
      <c r="M13" s="22" t="b">
        <v>0</v>
      </c>
      <c r="N13" s="17" t="b">
        <v>0</v>
      </c>
      <c r="O13" s="22" t="b">
        <v>0</v>
      </c>
      <c r="P13" s="22" t="b">
        <v>0</v>
      </c>
      <c r="Q13" s="21" t="b">
        <v>0</v>
      </c>
      <c r="R13" s="16" t="b">
        <v>0</v>
      </c>
      <c r="S13" s="21" t="b">
        <v>0</v>
      </c>
      <c r="T13" s="21" t="b">
        <v>0</v>
      </c>
      <c r="U13" s="16" t="b">
        <v>0</v>
      </c>
      <c r="V13" s="16" t="b">
        <v>0</v>
      </c>
      <c r="W13" s="21" t="b">
        <v>0</v>
      </c>
      <c r="X13" s="17" t="b">
        <v>0</v>
      </c>
      <c r="Y13" s="22" t="b">
        <v>0</v>
      </c>
      <c r="Z13" s="22" t="b">
        <v>0</v>
      </c>
      <c r="AA13" s="22" t="b">
        <v>0</v>
      </c>
      <c r="AB13" s="22" t="b">
        <v>0</v>
      </c>
      <c r="AC13" s="17" t="b">
        <v>0</v>
      </c>
      <c r="AD13" s="22" t="b">
        <v>0</v>
      </c>
      <c r="AE13" s="21" t="b">
        <v>0</v>
      </c>
      <c r="AF13" s="21" t="b">
        <v>0</v>
      </c>
      <c r="AG13" s="21" t="b">
        <v>0</v>
      </c>
      <c r="AH13" s="21" t="b">
        <v>0</v>
      </c>
      <c r="AI13" s="21" t="b">
        <v>0</v>
      </c>
      <c r="AJ13" s="21" t="b">
        <v>0</v>
      </c>
      <c r="AK13" s="21" t="b">
        <v>0</v>
      </c>
      <c r="AM13" s="18">
        <v>31.0</v>
      </c>
      <c r="AN13" s="18">
        <f t="shared" si="1"/>
        <v>0</v>
      </c>
      <c r="AO13" s="19">
        <f t="shared" si="2"/>
        <v>0</v>
      </c>
      <c r="AP13" s="20" t="str">
        <f>IFERROR(__xludf.DUMMYFUNCTION("SPARKLINE(AO13, {""charttype"",""bar""; ""max"",1;""color1"",""green""; ""empty"",""zero""})"),"")</f>
        <v/>
      </c>
    </row>
    <row r="14">
      <c r="A14" s="15">
        <v>7.0</v>
      </c>
      <c r="B14" s="15" t="s">
        <v>28</v>
      </c>
      <c r="C14" s="16" t="b">
        <v>0</v>
      </c>
      <c r="D14" s="16" t="b">
        <v>0</v>
      </c>
      <c r="E14" s="21" t="b">
        <v>0</v>
      </c>
      <c r="F14" s="21" t="b">
        <v>0</v>
      </c>
      <c r="G14" s="16" t="b">
        <v>0</v>
      </c>
      <c r="H14" s="21" t="b">
        <v>0</v>
      </c>
      <c r="I14" s="21" t="b">
        <v>0</v>
      </c>
      <c r="J14" s="17" t="b">
        <v>0</v>
      </c>
      <c r="K14" s="22" t="b">
        <v>0</v>
      </c>
      <c r="L14" s="17" t="b">
        <v>0</v>
      </c>
      <c r="M14" s="17" t="b">
        <v>0</v>
      </c>
      <c r="N14" s="22" t="b">
        <v>0</v>
      </c>
      <c r="O14" s="22" t="b">
        <v>0</v>
      </c>
      <c r="P14" s="22" t="b">
        <v>0</v>
      </c>
      <c r="Q14" s="21" t="b">
        <v>0</v>
      </c>
      <c r="R14" s="16" t="b">
        <v>0</v>
      </c>
      <c r="S14" s="21" t="b">
        <v>0</v>
      </c>
      <c r="T14" s="21" t="b">
        <v>0</v>
      </c>
      <c r="U14" s="16" t="b">
        <v>0</v>
      </c>
      <c r="V14" s="16" t="b">
        <v>0</v>
      </c>
      <c r="W14" s="21" t="b">
        <v>0</v>
      </c>
      <c r="X14" s="17" t="b">
        <v>0</v>
      </c>
      <c r="Y14" s="22" t="b">
        <v>0</v>
      </c>
      <c r="Z14" s="22" t="b">
        <v>0</v>
      </c>
      <c r="AA14" s="22" t="b">
        <v>0</v>
      </c>
      <c r="AB14" s="22" t="b">
        <v>0</v>
      </c>
      <c r="AC14" s="17" t="b">
        <v>0</v>
      </c>
      <c r="AD14" s="22" t="b">
        <v>0</v>
      </c>
      <c r="AE14" s="21" t="b">
        <v>0</v>
      </c>
      <c r="AF14" s="21" t="b">
        <v>0</v>
      </c>
      <c r="AG14" s="16" t="b">
        <v>0</v>
      </c>
      <c r="AH14" s="21" t="b">
        <v>0</v>
      </c>
      <c r="AI14" s="21" t="b">
        <v>0</v>
      </c>
      <c r="AJ14" s="21" t="b">
        <v>0</v>
      </c>
      <c r="AK14" s="16" t="b">
        <v>0</v>
      </c>
      <c r="AM14" s="18">
        <v>31.0</v>
      </c>
      <c r="AN14" s="18">
        <f t="shared" si="1"/>
        <v>0</v>
      </c>
      <c r="AO14" s="19">
        <f t="shared" si="2"/>
        <v>0</v>
      </c>
      <c r="AP14" s="20" t="str">
        <f>IFERROR(__xludf.DUMMYFUNCTION("SPARKLINE(AO14, {""charttype"",""bar""; ""max"",1;""color1"",""green""; ""empty"",""zero""})"),"")</f>
        <v/>
      </c>
    </row>
    <row r="15">
      <c r="A15" s="15">
        <v>8.0</v>
      </c>
      <c r="B15" s="15" t="s">
        <v>29</v>
      </c>
      <c r="C15" s="16" t="b">
        <v>0</v>
      </c>
      <c r="D15" s="21" t="b">
        <v>0</v>
      </c>
      <c r="E15" s="21" t="b">
        <v>0</v>
      </c>
      <c r="F15" s="16" t="b">
        <v>0</v>
      </c>
      <c r="G15" s="21" t="b">
        <v>0</v>
      </c>
      <c r="H15" s="16" t="b">
        <v>0</v>
      </c>
      <c r="I15" s="21" t="b">
        <v>0</v>
      </c>
      <c r="J15" s="17" t="b">
        <v>0</v>
      </c>
      <c r="K15" s="22" t="b">
        <v>0</v>
      </c>
      <c r="L15" s="22" t="b">
        <v>0</v>
      </c>
      <c r="M15" s="17" t="b">
        <v>0</v>
      </c>
      <c r="N15" s="22" t="b">
        <v>0</v>
      </c>
      <c r="O15" s="22" t="b">
        <v>0</v>
      </c>
      <c r="P15" s="22" t="b">
        <v>0</v>
      </c>
      <c r="Q15" s="21" t="b">
        <v>0</v>
      </c>
      <c r="R15" s="16" t="b">
        <v>0</v>
      </c>
      <c r="S15" s="21" t="b">
        <v>0</v>
      </c>
      <c r="T15" s="21" t="b">
        <v>0</v>
      </c>
      <c r="U15" s="16" t="b">
        <v>0</v>
      </c>
      <c r="V15" s="16" t="b">
        <v>0</v>
      </c>
      <c r="W15" s="21" t="b">
        <v>0</v>
      </c>
      <c r="X15" s="17" t="b">
        <v>0</v>
      </c>
      <c r="Y15" s="22" t="b">
        <v>0</v>
      </c>
      <c r="Z15" s="22" t="b">
        <v>0</v>
      </c>
      <c r="AA15" s="22" t="b">
        <v>0</v>
      </c>
      <c r="AB15" s="22" t="b">
        <v>0</v>
      </c>
      <c r="AC15" s="17" t="b">
        <v>0</v>
      </c>
      <c r="AD15" s="22" t="b">
        <v>0</v>
      </c>
      <c r="AE15" s="21" t="b">
        <v>0</v>
      </c>
      <c r="AF15" s="21" t="b">
        <v>0</v>
      </c>
      <c r="AG15" s="16" t="b">
        <v>0</v>
      </c>
      <c r="AH15" s="21" t="b">
        <v>0</v>
      </c>
      <c r="AI15" s="21" t="b">
        <v>0</v>
      </c>
      <c r="AJ15" s="16" t="b">
        <v>0</v>
      </c>
      <c r="AK15" s="16" t="b">
        <v>0</v>
      </c>
      <c r="AM15" s="18">
        <v>31.0</v>
      </c>
      <c r="AN15" s="18">
        <f t="shared" si="1"/>
        <v>0</v>
      </c>
      <c r="AO15" s="19">
        <f t="shared" si="2"/>
        <v>0</v>
      </c>
      <c r="AP15" s="20" t="str">
        <f>IFERROR(__xludf.DUMMYFUNCTION("SPARKLINE(AO15, {""charttype"",""bar""; ""max"",1;""color1"",""green""; ""empty"",""zero""})"),"")</f>
        <v/>
      </c>
    </row>
    <row r="17">
      <c r="A17" s="23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>
      <c r="A18" s="15" t="s">
        <v>3</v>
      </c>
      <c r="C18" s="25">
        <f t="shared" ref="C18:AG18" si="3">IF(COUNTA(C8:C12)=0, 0, COUNTIF(C8:C12, TRUE)/COUNTA(C8:C12))</f>
        <v>0.2</v>
      </c>
      <c r="D18" s="25">
        <f t="shared" si="3"/>
        <v>0</v>
      </c>
      <c r="E18" s="25">
        <f t="shared" si="3"/>
        <v>0</v>
      </c>
      <c r="F18" s="25">
        <f t="shared" si="3"/>
        <v>0</v>
      </c>
      <c r="G18" s="25">
        <f t="shared" si="3"/>
        <v>0</v>
      </c>
      <c r="H18" s="25">
        <f t="shared" si="3"/>
        <v>0</v>
      </c>
      <c r="I18" s="25">
        <f t="shared" si="3"/>
        <v>0</v>
      </c>
      <c r="J18" s="25">
        <f t="shared" si="3"/>
        <v>0</v>
      </c>
      <c r="K18" s="25">
        <f t="shared" si="3"/>
        <v>0</v>
      </c>
      <c r="L18" s="25">
        <f t="shared" si="3"/>
        <v>0</v>
      </c>
      <c r="M18" s="25">
        <f t="shared" si="3"/>
        <v>0</v>
      </c>
      <c r="N18" s="25">
        <f t="shared" si="3"/>
        <v>0</v>
      </c>
      <c r="O18" s="25">
        <f t="shared" si="3"/>
        <v>0</v>
      </c>
      <c r="P18" s="25">
        <f t="shared" si="3"/>
        <v>0</v>
      </c>
      <c r="Q18" s="25">
        <f t="shared" si="3"/>
        <v>0</v>
      </c>
      <c r="R18" s="25">
        <f t="shared" si="3"/>
        <v>0</v>
      </c>
      <c r="S18" s="25">
        <f t="shared" si="3"/>
        <v>0</v>
      </c>
      <c r="T18" s="25">
        <f t="shared" si="3"/>
        <v>0</v>
      </c>
      <c r="U18" s="25">
        <f t="shared" si="3"/>
        <v>0</v>
      </c>
      <c r="V18" s="25">
        <f t="shared" si="3"/>
        <v>0</v>
      </c>
      <c r="W18" s="25">
        <f t="shared" si="3"/>
        <v>0</v>
      </c>
      <c r="X18" s="25">
        <f t="shared" si="3"/>
        <v>0</v>
      </c>
      <c r="Y18" s="25">
        <f t="shared" si="3"/>
        <v>0</v>
      </c>
      <c r="Z18" s="25">
        <f t="shared" si="3"/>
        <v>0</v>
      </c>
      <c r="AA18" s="25">
        <f t="shared" si="3"/>
        <v>0</v>
      </c>
      <c r="AB18" s="25">
        <f t="shared" si="3"/>
        <v>0</v>
      </c>
      <c r="AC18" s="25">
        <f t="shared" si="3"/>
        <v>0</v>
      </c>
      <c r="AD18" s="25">
        <f t="shared" si="3"/>
        <v>0</v>
      </c>
      <c r="AE18" s="25">
        <f t="shared" si="3"/>
        <v>0</v>
      </c>
      <c r="AF18" s="25">
        <f t="shared" si="3"/>
        <v>0</v>
      </c>
      <c r="AG18" s="25">
        <f t="shared" si="3"/>
        <v>0</v>
      </c>
      <c r="AH18" s="3"/>
      <c r="AI18" s="3"/>
      <c r="AJ18" s="3"/>
      <c r="AK18" s="3"/>
      <c r="AL18" s="3"/>
      <c r="AM18" s="11" t="s">
        <v>30</v>
      </c>
    </row>
    <row r="19">
      <c r="A19" s="15" t="s">
        <v>31</v>
      </c>
      <c r="C19" s="26">
        <f t="shared" ref="C19:AG19" si="4">COUNTIF(C8:C12, TRUE)</f>
        <v>1</v>
      </c>
      <c r="D19" s="26">
        <f t="shared" si="4"/>
        <v>0</v>
      </c>
      <c r="E19" s="26">
        <f t="shared" si="4"/>
        <v>0</v>
      </c>
      <c r="F19" s="26">
        <f t="shared" si="4"/>
        <v>0</v>
      </c>
      <c r="G19" s="26">
        <f t="shared" si="4"/>
        <v>0</v>
      </c>
      <c r="H19" s="26">
        <f t="shared" si="4"/>
        <v>0</v>
      </c>
      <c r="I19" s="26">
        <f t="shared" si="4"/>
        <v>0</v>
      </c>
      <c r="J19" s="26">
        <f t="shared" si="4"/>
        <v>0</v>
      </c>
      <c r="K19" s="26">
        <f t="shared" si="4"/>
        <v>0</v>
      </c>
      <c r="L19" s="26">
        <f t="shared" si="4"/>
        <v>0</v>
      </c>
      <c r="M19" s="26">
        <f t="shared" si="4"/>
        <v>0</v>
      </c>
      <c r="N19" s="26">
        <f t="shared" si="4"/>
        <v>0</v>
      </c>
      <c r="O19" s="26">
        <f t="shared" si="4"/>
        <v>0</v>
      </c>
      <c r="P19" s="26">
        <f t="shared" si="4"/>
        <v>0</v>
      </c>
      <c r="Q19" s="26">
        <f t="shared" si="4"/>
        <v>0</v>
      </c>
      <c r="R19" s="26">
        <f t="shared" si="4"/>
        <v>0</v>
      </c>
      <c r="S19" s="26">
        <f t="shared" si="4"/>
        <v>0</v>
      </c>
      <c r="T19" s="26">
        <f t="shared" si="4"/>
        <v>0</v>
      </c>
      <c r="U19" s="26">
        <f t="shared" si="4"/>
        <v>0</v>
      </c>
      <c r="V19" s="26">
        <f t="shared" si="4"/>
        <v>0</v>
      </c>
      <c r="W19" s="26">
        <f t="shared" si="4"/>
        <v>0</v>
      </c>
      <c r="X19" s="26">
        <f t="shared" si="4"/>
        <v>0</v>
      </c>
      <c r="Y19" s="26">
        <f t="shared" si="4"/>
        <v>0</v>
      </c>
      <c r="Z19" s="26">
        <f t="shared" si="4"/>
        <v>0</v>
      </c>
      <c r="AA19" s="26">
        <f t="shared" si="4"/>
        <v>0</v>
      </c>
      <c r="AB19" s="26">
        <f t="shared" si="4"/>
        <v>0</v>
      </c>
      <c r="AC19" s="26">
        <f t="shared" si="4"/>
        <v>0</v>
      </c>
      <c r="AD19" s="26">
        <f t="shared" si="4"/>
        <v>0</v>
      </c>
      <c r="AE19" s="26">
        <f t="shared" si="4"/>
        <v>0</v>
      </c>
      <c r="AF19" s="26">
        <f t="shared" si="4"/>
        <v>0</v>
      </c>
      <c r="AG19" s="26">
        <f t="shared" si="4"/>
        <v>0</v>
      </c>
      <c r="AH19" s="3"/>
      <c r="AI19" s="3"/>
      <c r="AJ19" s="3"/>
      <c r="AK19" s="3"/>
      <c r="AL19" s="3"/>
      <c r="AM19" s="27" t="s">
        <v>32</v>
      </c>
    </row>
    <row r="20">
      <c r="A20" s="15" t="s">
        <v>33</v>
      </c>
      <c r="C20" s="26">
        <f t="shared" ref="C20:AG20" si="5">COUNTIF(C8:C12, FALSE)</f>
        <v>4</v>
      </c>
      <c r="D20" s="26">
        <f t="shared" si="5"/>
        <v>5</v>
      </c>
      <c r="E20" s="26">
        <f t="shared" si="5"/>
        <v>5</v>
      </c>
      <c r="F20" s="26">
        <f t="shared" si="5"/>
        <v>5</v>
      </c>
      <c r="G20" s="26">
        <f t="shared" si="5"/>
        <v>5</v>
      </c>
      <c r="H20" s="26">
        <f t="shared" si="5"/>
        <v>5</v>
      </c>
      <c r="I20" s="26">
        <f t="shared" si="5"/>
        <v>5</v>
      </c>
      <c r="J20" s="26">
        <f t="shared" si="5"/>
        <v>5</v>
      </c>
      <c r="K20" s="26">
        <f t="shared" si="5"/>
        <v>5</v>
      </c>
      <c r="L20" s="26">
        <f t="shared" si="5"/>
        <v>5</v>
      </c>
      <c r="M20" s="26">
        <f t="shared" si="5"/>
        <v>5</v>
      </c>
      <c r="N20" s="26">
        <f t="shared" si="5"/>
        <v>5</v>
      </c>
      <c r="O20" s="26">
        <f t="shared" si="5"/>
        <v>5</v>
      </c>
      <c r="P20" s="26">
        <f t="shared" si="5"/>
        <v>5</v>
      </c>
      <c r="Q20" s="26">
        <f t="shared" si="5"/>
        <v>5</v>
      </c>
      <c r="R20" s="26">
        <f t="shared" si="5"/>
        <v>5</v>
      </c>
      <c r="S20" s="26">
        <f t="shared" si="5"/>
        <v>5</v>
      </c>
      <c r="T20" s="26">
        <f t="shared" si="5"/>
        <v>5</v>
      </c>
      <c r="U20" s="26">
        <f t="shared" si="5"/>
        <v>5</v>
      </c>
      <c r="V20" s="26">
        <f t="shared" si="5"/>
        <v>5</v>
      </c>
      <c r="W20" s="26">
        <f t="shared" si="5"/>
        <v>5</v>
      </c>
      <c r="X20" s="26">
        <f t="shared" si="5"/>
        <v>5</v>
      </c>
      <c r="Y20" s="26">
        <f t="shared" si="5"/>
        <v>5</v>
      </c>
      <c r="Z20" s="26">
        <f t="shared" si="5"/>
        <v>5</v>
      </c>
      <c r="AA20" s="26">
        <f t="shared" si="5"/>
        <v>5</v>
      </c>
      <c r="AB20" s="26">
        <f t="shared" si="5"/>
        <v>5</v>
      </c>
      <c r="AC20" s="26">
        <f t="shared" si="5"/>
        <v>5</v>
      </c>
      <c r="AD20" s="26">
        <f t="shared" si="5"/>
        <v>5</v>
      </c>
      <c r="AE20" s="26">
        <f t="shared" si="5"/>
        <v>5</v>
      </c>
      <c r="AF20" s="26">
        <f t="shared" si="5"/>
        <v>5</v>
      </c>
      <c r="AG20" s="26">
        <f t="shared" si="5"/>
        <v>5</v>
      </c>
      <c r="AH20" s="3"/>
      <c r="AI20" s="3"/>
      <c r="AJ20" s="3"/>
      <c r="AK20" s="3"/>
      <c r="AL20" s="3"/>
    </row>
    <row r="21">
      <c r="AD21" s="28"/>
      <c r="AE21" s="28"/>
      <c r="AF21" s="28"/>
      <c r="AG21" s="28"/>
      <c r="AH21" s="28"/>
      <c r="AI21" s="3"/>
      <c r="AJ21" s="3"/>
      <c r="AK21" s="3"/>
      <c r="AL21" s="3"/>
    </row>
    <row r="22">
      <c r="AD22" s="28"/>
      <c r="AE22" s="28"/>
      <c r="AF22" s="28"/>
      <c r="AG22" s="28"/>
      <c r="AH22" s="28"/>
      <c r="AI22" s="3"/>
      <c r="AJ22" s="3"/>
      <c r="AK22" s="3"/>
      <c r="AL22" s="3"/>
    </row>
    <row r="23">
      <c r="AI23" s="3"/>
      <c r="AJ23" s="3"/>
      <c r="AK23" s="3"/>
      <c r="AL23" s="3"/>
    </row>
    <row r="24">
      <c r="AI24" s="3"/>
      <c r="AJ24" s="3"/>
      <c r="AK24" s="3"/>
      <c r="AL24" s="3"/>
    </row>
    <row r="25">
      <c r="AI25" s="3"/>
      <c r="AJ25" s="3"/>
      <c r="AK25" s="3"/>
      <c r="AL25" s="3"/>
    </row>
    <row r="26">
      <c r="AD26" s="28"/>
      <c r="AE26" s="28"/>
      <c r="AF26" s="28"/>
      <c r="AG26" s="28"/>
      <c r="AH26" s="28"/>
      <c r="AI26" s="3"/>
      <c r="AJ26" s="3"/>
      <c r="AK26" s="3"/>
      <c r="AL26" s="3"/>
    </row>
    <row r="27"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</row>
    <row r="28"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</row>
    <row r="29">
      <c r="AD29" s="28"/>
      <c r="AE29" s="28"/>
      <c r="AF29" s="28"/>
      <c r="AG29" s="28"/>
      <c r="AH29" s="28"/>
      <c r="AM29" s="28"/>
      <c r="AN29" s="28"/>
      <c r="AO29" s="28"/>
      <c r="AP29" s="28"/>
    </row>
    <row r="30">
      <c r="AM30" s="28"/>
      <c r="AN30" s="28"/>
      <c r="AO30" s="28"/>
      <c r="AP30" s="28"/>
    </row>
    <row r="31">
      <c r="AM31" s="28"/>
      <c r="AN31" s="28"/>
      <c r="AO31" s="28"/>
      <c r="AP31" s="28"/>
    </row>
    <row r="32"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</row>
    <row r="33"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</row>
    <row r="34"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</row>
    <row r="35"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</row>
    <row r="36"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</row>
    <row r="37"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</row>
    <row r="38"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</row>
    <row r="39"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</row>
    <row r="40"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</row>
    <row r="41"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</row>
    <row r="42"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</row>
    <row r="43"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</row>
    <row r="44"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</row>
    <row r="45"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</row>
    <row r="46"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</row>
    <row r="47"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</row>
    <row r="48"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</row>
    <row r="49"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</row>
    <row r="50"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</row>
    <row r="51"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</row>
    <row r="52"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</row>
    <row r="53"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</row>
    <row r="54"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</row>
    <row r="55"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</row>
    <row r="56"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</row>
    <row r="57"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</row>
    <row r="58"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</row>
    <row r="59"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</row>
    <row r="60"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</row>
    <row r="61"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</row>
    <row r="62"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</row>
    <row r="63"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</row>
    <row r="64"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</row>
    <row r="65">
      <c r="J65" s="15" t="s">
        <v>27</v>
      </c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</row>
    <row r="66">
      <c r="J66" s="15" t="s">
        <v>25</v>
      </c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</row>
    <row r="67">
      <c r="J67" s="15" t="s">
        <v>34</v>
      </c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</row>
    <row r="68">
      <c r="J68" s="15" t="s">
        <v>26</v>
      </c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</row>
    <row r="69"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</row>
    <row r="70"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</row>
    <row r="71"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</row>
    <row r="72"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</row>
    <row r="73"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</row>
    <row r="74"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</row>
    <row r="75"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</row>
    <row r="76"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</row>
    <row r="77"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</row>
    <row r="78"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</row>
    <row r="79"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</row>
    <row r="80"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</row>
    <row r="81"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</row>
    <row r="82"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</row>
    <row r="83"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</row>
    <row r="84"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</row>
    <row r="85"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</row>
    <row r="86"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</row>
    <row r="87"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</row>
    <row r="88"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</row>
    <row r="89"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</row>
    <row r="90"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</row>
    <row r="91"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</row>
    <row r="92"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</row>
    <row r="93"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</row>
    <row r="94"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</row>
    <row r="95"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</row>
    <row r="96"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</row>
    <row r="97"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</row>
    <row r="98"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</row>
    <row r="99"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</row>
    <row r="100"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</row>
    <row r="101"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</row>
    <row r="102"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</row>
    <row r="103"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</row>
    <row r="104"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</row>
    <row r="105"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</row>
    <row r="106"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</row>
    <row r="107"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</row>
    <row r="108"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</row>
    <row r="109"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</row>
    <row r="110"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</row>
    <row r="111"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</row>
    <row r="112"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</row>
    <row r="113"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</row>
    <row r="114"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</row>
    <row r="115"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</row>
    <row r="116"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</row>
    <row r="117"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</row>
    <row r="118"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</row>
    <row r="119"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</row>
    <row r="120"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</row>
    <row r="121"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</row>
    <row r="122"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</row>
    <row r="123"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</row>
    <row r="124"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</row>
    <row r="125"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</row>
    <row r="126"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</row>
    <row r="127"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</row>
    <row r="128"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</row>
    <row r="129"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</row>
    <row r="130"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</row>
    <row r="131"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</row>
    <row r="132"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</row>
    <row r="133"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</row>
    <row r="134"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</row>
    <row r="135"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</row>
    <row r="136"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</row>
    <row r="137"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</row>
    <row r="138"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</row>
    <row r="139"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</row>
    <row r="140"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</row>
    <row r="141"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</row>
    <row r="142"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</row>
    <row r="143"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</row>
    <row r="144"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</row>
    <row r="145"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</row>
    <row r="146"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</row>
    <row r="147"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</row>
    <row r="148"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</row>
    <row r="149"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</row>
    <row r="150"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</row>
    <row r="151"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</row>
    <row r="152"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</row>
    <row r="153"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</row>
    <row r="154"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</row>
    <row r="155"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</row>
    <row r="156"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</row>
    <row r="157"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</row>
    <row r="158"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</row>
    <row r="159"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</row>
    <row r="160"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</row>
    <row r="161"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</row>
    <row r="162"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</row>
    <row r="163"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</row>
    <row r="164"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</row>
    <row r="165"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</row>
    <row r="166"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</row>
    <row r="167"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</row>
    <row r="168"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</row>
    <row r="169"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</row>
    <row r="170"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</row>
    <row r="171"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</row>
    <row r="172"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</row>
    <row r="173"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</row>
    <row r="174"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</row>
    <row r="175"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</row>
    <row r="176"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</row>
    <row r="177"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</row>
    <row r="178"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</row>
    <row r="179"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</row>
    <row r="180"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</row>
    <row r="181"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</row>
    <row r="182"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</row>
    <row r="183"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</row>
    <row r="184"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</row>
    <row r="185"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</row>
    <row r="186"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</row>
    <row r="187"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</row>
    <row r="188"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</row>
    <row r="189"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</row>
    <row r="190"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</row>
    <row r="191"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</row>
    <row r="192"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</row>
    <row r="193"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</row>
    <row r="194"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</row>
    <row r="195"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</row>
    <row r="196"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</row>
    <row r="197"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</row>
    <row r="198"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</row>
    <row r="199"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</row>
    <row r="200"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</row>
    <row r="201"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</row>
    <row r="202"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</row>
    <row r="203"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</row>
    <row r="204"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</row>
    <row r="205"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</row>
    <row r="206"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</row>
    <row r="207"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</row>
    <row r="208"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</row>
    <row r="209"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</row>
    <row r="210"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</row>
    <row r="211"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</row>
    <row r="212"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</row>
    <row r="213"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</row>
    <row r="214"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</row>
    <row r="215"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</row>
    <row r="216"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</row>
    <row r="217"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</row>
    <row r="218"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</row>
    <row r="219"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</row>
    <row r="220"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</row>
    <row r="221"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</row>
    <row r="222"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</row>
    <row r="223"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</row>
    <row r="224"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</row>
    <row r="225"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</row>
    <row r="226"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</row>
    <row r="227"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</row>
    <row r="228"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</row>
    <row r="229"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</row>
    <row r="230"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</row>
    <row r="231"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</row>
    <row r="232"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</row>
    <row r="233"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</row>
    <row r="234"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</row>
    <row r="235"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</row>
    <row r="236"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</row>
    <row r="237"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</row>
    <row r="238"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</row>
    <row r="239"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</row>
    <row r="240"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</row>
    <row r="241"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</row>
    <row r="242"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</row>
    <row r="243"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</row>
    <row r="244"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</row>
    <row r="245"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</row>
    <row r="246"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</row>
    <row r="247"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</row>
    <row r="248"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</row>
    <row r="249"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</row>
    <row r="250"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</row>
    <row r="251"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</row>
    <row r="252"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</row>
    <row r="253"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</row>
    <row r="254"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</row>
    <row r="255"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</row>
    <row r="256"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</row>
    <row r="257"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</row>
    <row r="258"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</row>
    <row r="259"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</row>
    <row r="260"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</row>
    <row r="261"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</row>
    <row r="262"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</row>
    <row r="263"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</row>
    <row r="264"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</row>
    <row r="265"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</row>
    <row r="266"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</row>
    <row r="267"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</row>
    <row r="268"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</row>
    <row r="269"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</row>
    <row r="270"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</row>
    <row r="271"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</row>
    <row r="272"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</row>
    <row r="273"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</row>
    <row r="274"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</row>
    <row r="275"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</row>
    <row r="276"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</row>
    <row r="277"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</row>
    <row r="278"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</row>
    <row r="279"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</row>
    <row r="280"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</row>
    <row r="281"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</row>
    <row r="282"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</row>
    <row r="283"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</row>
    <row r="284"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</row>
    <row r="285"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</row>
    <row r="286"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</row>
    <row r="287"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</row>
    <row r="288"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</row>
    <row r="289"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</row>
    <row r="290"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</row>
    <row r="291"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</row>
    <row r="292"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</row>
    <row r="293"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</row>
    <row r="294"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</row>
    <row r="295"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</row>
    <row r="296"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</row>
    <row r="297"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</row>
    <row r="298"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</row>
    <row r="299"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</row>
    <row r="300"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</row>
    <row r="301"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</row>
    <row r="302"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</row>
    <row r="303"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</row>
    <row r="304"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</row>
    <row r="305"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</row>
    <row r="306"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</row>
    <row r="307"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</row>
    <row r="308"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</row>
    <row r="309"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</row>
    <row r="310"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</row>
    <row r="311"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</row>
    <row r="312"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</row>
    <row r="313"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</row>
    <row r="314"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</row>
    <row r="315"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</row>
    <row r="316"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</row>
    <row r="317"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</row>
    <row r="318"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</row>
    <row r="319"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</row>
    <row r="320"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</row>
    <row r="321"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</row>
    <row r="322"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</row>
    <row r="323"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</row>
    <row r="324"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</row>
    <row r="325"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</row>
    <row r="326"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</row>
    <row r="327"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</row>
    <row r="328"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</row>
    <row r="329"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</row>
    <row r="330"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</row>
    <row r="331"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</row>
    <row r="332"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</row>
    <row r="333"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</row>
    <row r="334"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</row>
    <row r="335"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</row>
    <row r="336"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</row>
    <row r="337"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</row>
    <row r="338"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</row>
    <row r="339"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</row>
    <row r="340"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</row>
    <row r="341"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</row>
    <row r="342"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</row>
    <row r="343"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</row>
    <row r="344"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</row>
    <row r="345"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</row>
    <row r="346"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</row>
    <row r="347"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</row>
    <row r="348"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</row>
    <row r="349"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</row>
    <row r="350"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</row>
    <row r="351"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</row>
    <row r="352"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</row>
    <row r="353"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</row>
    <row r="354"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</row>
    <row r="355"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</row>
    <row r="356"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</row>
    <row r="357"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</row>
    <row r="358"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</row>
    <row r="359"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</row>
    <row r="360"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</row>
    <row r="361"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</row>
    <row r="362"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</row>
    <row r="363"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</row>
    <row r="364"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</row>
    <row r="365"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</row>
    <row r="366"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</row>
    <row r="367"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</row>
    <row r="368"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</row>
    <row r="369"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</row>
    <row r="370"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</row>
    <row r="371"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</row>
    <row r="372"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</row>
    <row r="373"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</row>
    <row r="374"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</row>
    <row r="375"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</row>
    <row r="376"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</row>
    <row r="377"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</row>
    <row r="378"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</row>
    <row r="379"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</row>
    <row r="380"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</row>
    <row r="381"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</row>
    <row r="382"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</row>
    <row r="383"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</row>
    <row r="384"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</row>
    <row r="385"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</row>
    <row r="386"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</row>
    <row r="387"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</row>
    <row r="388"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</row>
    <row r="389"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</row>
    <row r="390"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</row>
    <row r="391"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</row>
    <row r="392"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</row>
    <row r="393"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</row>
    <row r="394"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</row>
    <row r="395"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</row>
    <row r="396"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</row>
    <row r="397"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</row>
    <row r="398"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</row>
    <row r="399"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</row>
    <row r="400"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</row>
    <row r="401"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</row>
    <row r="402"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</row>
    <row r="403"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</row>
    <row r="404"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</row>
    <row r="405"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</row>
    <row r="406"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</row>
    <row r="407"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</row>
    <row r="408"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</row>
    <row r="409"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</row>
    <row r="410"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</row>
    <row r="411"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</row>
    <row r="412"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</row>
    <row r="413"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</row>
    <row r="414"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</row>
    <row r="415"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</row>
    <row r="416"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</row>
    <row r="417"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</row>
    <row r="418"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</row>
    <row r="419"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</row>
    <row r="420"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</row>
    <row r="421"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</row>
    <row r="422"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</row>
    <row r="423"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</row>
    <row r="424"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</row>
    <row r="425"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</row>
    <row r="426"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</row>
    <row r="427"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</row>
    <row r="428"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</row>
    <row r="429"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</row>
    <row r="430"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</row>
    <row r="431"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</row>
    <row r="432"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</row>
    <row r="433"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</row>
    <row r="434"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</row>
    <row r="435"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</row>
    <row r="436"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</row>
    <row r="437"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</row>
    <row r="438"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</row>
    <row r="439"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</row>
    <row r="440"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</row>
    <row r="441"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</row>
    <row r="442"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</row>
    <row r="443"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</row>
    <row r="444"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</row>
    <row r="445"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</row>
    <row r="446"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</row>
    <row r="447"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</row>
    <row r="448"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</row>
    <row r="449"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</row>
    <row r="450"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</row>
    <row r="451"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</row>
    <row r="452"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</row>
    <row r="453"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</row>
    <row r="454"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</row>
    <row r="455"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</row>
    <row r="456"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</row>
    <row r="457"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</row>
    <row r="458"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</row>
    <row r="459"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</row>
    <row r="460"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</row>
    <row r="461"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</row>
    <row r="462"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</row>
    <row r="463"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</row>
    <row r="464"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</row>
    <row r="465"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</row>
    <row r="466"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</row>
    <row r="467"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</row>
    <row r="468"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</row>
    <row r="469"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</row>
    <row r="470"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</row>
    <row r="471"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</row>
    <row r="472"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</row>
    <row r="473"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</row>
    <row r="474"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</row>
    <row r="475"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</row>
    <row r="476"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</row>
    <row r="477"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</row>
    <row r="478"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</row>
    <row r="479"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</row>
    <row r="480"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</row>
    <row r="481"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</row>
    <row r="482"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</row>
    <row r="483"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</row>
    <row r="484"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</row>
    <row r="485"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</row>
    <row r="486"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</row>
    <row r="487"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</row>
    <row r="488"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</row>
    <row r="489"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</row>
    <row r="490"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</row>
    <row r="491"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</row>
    <row r="492"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</row>
    <row r="493"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</row>
    <row r="494"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</row>
    <row r="495"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</row>
    <row r="496"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</row>
    <row r="497"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</row>
    <row r="498"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</row>
    <row r="499"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</row>
    <row r="500"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</row>
    <row r="501"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</row>
    <row r="502"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</row>
    <row r="503"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</row>
    <row r="504"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</row>
    <row r="505"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</row>
    <row r="506"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</row>
    <row r="507"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</row>
    <row r="508"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</row>
    <row r="509"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</row>
    <row r="510"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</row>
    <row r="511"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</row>
    <row r="512"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</row>
    <row r="513"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</row>
    <row r="514"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</row>
    <row r="515"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</row>
    <row r="516"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</row>
    <row r="517"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</row>
    <row r="518"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</row>
    <row r="519"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</row>
    <row r="520"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</row>
    <row r="521"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</row>
    <row r="522"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</row>
    <row r="523"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</row>
    <row r="524"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</row>
    <row r="525"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</row>
    <row r="526"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</row>
    <row r="527"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</row>
    <row r="528"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</row>
    <row r="529"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</row>
    <row r="530"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</row>
    <row r="531"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</row>
    <row r="532"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</row>
    <row r="533"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</row>
    <row r="534"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</row>
    <row r="535"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</row>
    <row r="536"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</row>
    <row r="537"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</row>
    <row r="538"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</row>
    <row r="539"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</row>
    <row r="540"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</row>
    <row r="541"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</row>
    <row r="542"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</row>
    <row r="543"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</row>
    <row r="544"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</row>
    <row r="545"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</row>
    <row r="546"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</row>
    <row r="547"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</row>
    <row r="548"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</row>
    <row r="549"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</row>
    <row r="550"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</row>
    <row r="551"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</row>
    <row r="552"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</row>
    <row r="553"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</row>
    <row r="554"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</row>
    <row r="555"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</row>
    <row r="556"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</row>
    <row r="557"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</row>
    <row r="558"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</row>
    <row r="559"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</row>
    <row r="560"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</row>
    <row r="561"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</row>
    <row r="562"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</row>
    <row r="563"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</row>
    <row r="564"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</row>
    <row r="565"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</row>
    <row r="566"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</row>
    <row r="567"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</row>
    <row r="568"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</row>
    <row r="569"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</row>
    <row r="570"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</row>
    <row r="571"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</row>
    <row r="572"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</row>
    <row r="573"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</row>
    <row r="574"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</row>
    <row r="575"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</row>
    <row r="576"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</row>
    <row r="577"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</row>
    <row r="578"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</row>
    <row r="579"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</row>
    <row r="580"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</row>
    <row r="581"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</row>
    <row r="582"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</row>
    <row r="583"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</row>
    <row r="584"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</row>
    <row r="585"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</row>
    <row r="586"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</row>
    <row r="587"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</row>
    <row r="588"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</row>
    <row r="589"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</row>
    <row r="590"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</row>
    <row r="591"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</row>
    <row r="592"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</row>
    <row r="593"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</row>
    <row r="594"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</row>
    <row r="595"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</row>
    <row r="596"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</row>
    <row r="597"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</row>
    <row r="598"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</row>
    <row r="599"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</row>
    <row r="600"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</row>
    <row r="601"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</row>
    <row r="602"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</row>
    <row r="603"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</row>
    <row r="604"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</row>
    <row r="605"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</row>
    <row r="606"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</row>
    <row r="607"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</row>
    <row r="608"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</row>
    <row r="609"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</row>
    <row r="610"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</row>
    <row r="611"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</row>
    <row r="612"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</row>
    <row r="613"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</row>
    <row r="614"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</row>
    <row r="615"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</row>
    <row r="616"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</row>
    <row r="617"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</row>
    <row r="618"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</row>
    <row r="619"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</row>
    <row r="620"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</row>
    <row r="621"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</row>
    <row r="622"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</row>
    <row r="623"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</row>
    <row r="624"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</row>
    <row r="625"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</row>
    <row r="626"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</row>
    <row r="627"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</row>
    <row r="628"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</row>
    <row r="629"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</row>
    <row r="630"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</row>
    <row r="631"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</row>
    <row r="632"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</row>
    <row r="633"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</row>
    <row r="634"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</row>
    <row r="635"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</row>
    <row r="636"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</row>
    <row r="637"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</row>
    <row r="638"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</row>
    <row r="639"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</row>
    <row r="640"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</row>
    <row r="641"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</row>
    <row r="642"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</row>
    <row r="643"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</row>
    <row r="644"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</row>
    <row r="645"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</row>
    <row r="646"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</row>
    <row r="647"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</row>
    <row r="648"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</row>
    <row r="649"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</row>
    <row r="650"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</row>
    <row r="651"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</row>
    <row r="652"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</row>
    <row r="653"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</row>
    <row r="654"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</row>
    <row r="655"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</row>
    <row r="656"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</row>
    <row r="657"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</row>
    <row r="658"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</row>
    <row r="659"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</row>
    <row r="660"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</row>
    <row r="661"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</row>
    <row r="662"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</row>
    <row r="663"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</row>
    <row r="664"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</row>
    <row r="665"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</row>
    <row r="666"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</row>
    <row r="667"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</row>
    <row r="668"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</row>
    <row r="669"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</row>
    <row r="670"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</row>
    <row r="671"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</row>
    <row r="672"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</row>
    <row r="673"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</row>
    <row r="674"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</row>
    <row r="675"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</row>
    <row r="676"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</row>
    <row r="677"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</row>
    <row r="678"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</row>
    <row r="679"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</row>
    <row r="680"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</row>
    <row r="681"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</row>
    <row r="682"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</row>
    <row r="683"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</row>
    <row r="684"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</row>
    <row r="685"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</row>
    <row r="686"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</row>
    <row r="687"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</row>
    <row r="688"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</row>
    <row r="689"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</row>
    <row r="690"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</row>
    <row r="691"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</row>
    <row r="692"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</row>
    <row r="693"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</row>
    <row r="694"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</row>
    <row r="695"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</row>
    <row r="696"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</row>
    <row r="697"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</row>
    <row r="698"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</row>
    <row r="699"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</row>
    <row r="700"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</row>
    <row r="701"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</row>
    <row r="702"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</row>
    <row r="703"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</row>
    <row r="704"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</row>
    <row r="705"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</row>
    <row r="706"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</row>
    <row r="707"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</row>
    <row r="708"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</row>
    <row r="709"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</row>
    <row r="710"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</row>
    <row r="711"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</row>
    <row r="712"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</row>
    <row r="713"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</row>
    <row r="714"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</row>
    <row r="715"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</row>
    <row r="716"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</row>
    <row r="717"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</row>
    <row r="718"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</row>
    <row r="719"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</row>
    <row r="720"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</row>
    <row r="721"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</row>
    <row r="722"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</row>
    <row r="723"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</row>
    <row r="724"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</row>
    <row r="725"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</row>
    <row r="726"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</row>
    <row r="727"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</row>
    <row r="728"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</row>
    <row r="729"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</row>
    <row r="730"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</row>
    <row r="731"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</row>
    <row r="732"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</row>
    <row r="733"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</row>
    <row r="734"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</row>
    <row r="735"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</row>
    <row r="736"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</row>
    <row r="737"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</row>
    <row r="738"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</row>
    <row r="739"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</row>
    <row r="740"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</row>
    <row r="741"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</row>
    <row r="742"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</row>
    <row r="743"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</row>
    <row r="744"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</row>
    <row r="745"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</row>
    <row r="746"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</row>
    <row r="747"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</row>
    <row r="748"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</row>
    <row r="749"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</row>
    <row r="750"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</row>
    <row r="751"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</row>
    <row r="752"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</row>
    <row r="753"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</row>
    <row r="754"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</row>
    <row r="755"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</row>
    <row r="756"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</row>
    <row r="757"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</row>
    <row r="758"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</row>
    <row r="759"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</row>
    <row r="760"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</row>
    <row r="761"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</row>
    <row r="762"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</row>
    <row r="763"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</row>
    <row r="764"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</row>
    <row r="765"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</row>
    <row r="766"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</row>
    <row r="767"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</row>
    <row r="768"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</row>
    <row r="769"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</row>
    <row r="770"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</row>
    <row r="771"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</row>
    <row r="772"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</row>
    <row r="773"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</row>
    <row r="774"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</row>
    <row r="775"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</row>
    <row r="776"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</row>
    <row r="777"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</row>
    <row r="778"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</row>
    <row r="779"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</row>
    <row r="780"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</row>
    <row r="781"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</row>
    <row r="782"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</row>
    <row r="783"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</row>
    <row r="784"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</row>
    <row r="785"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</row>
    <row r="786"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</row>
    <row r="787"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</row>
    <row r="788"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</row>
    <row r="789"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</row>
    <row r="790"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</row>
    <row r="791"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</row>
    <row r="792"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</row>
    <row r="793"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</row>
    <row r="794"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</row>
    <row r="795"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</row>
    <row r="796"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</row>
    <row r="797"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</row>
    <row r="798"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</row>
    <row r="799"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</row>
    <row r="800"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</row>
    <row r="801"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</row>
    <row r="802"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</row>
    <row r="803"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</row>
    <row r="804"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</row>
    <row r="805"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</row>
    <row r="806"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</row>
    <row r="807"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</row>
    <row r="808"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</row>
    <row r="809"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</row>
    <row r="810"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</row>
    <row r="811"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</row>
    <row r="812"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</row>
    <row r="813"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</row>
    <row r="814"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</row>
    <row r="815"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</row>
    <row r="816"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</row>
    <row r="817"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</row>
    <row r="818"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</row>
    <row r="819"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</row>
    <row r="820"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</row>
    <row r="821"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</row>
    <row r="822"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</row>
    <row r="823"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</row>
    <row r="824"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</row>
    <row r="825"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</row>
    <row r="826"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</row>
    <row r="827"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</row>
    <row r="828"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</row>
    <row r="829"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</row>
    <row r="830"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</row>
    <row r="831"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</row>
    <row r="832"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</row>
    <row r="833"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</row>
    <row r="834"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</row>
    <row r="835"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</row>
    <row r="836"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</row>
    <row r="837"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</row>
    <row r="838"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</row>
    <row r="839"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</row>
    <row r="840"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</row>
    <row r="841"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</row>
    <row r="842"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</row>
    <row r="843"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</row>
    <row r="844"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</row>
    <row r="845"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</row>
    <row r="846"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</row>
    <row r="847"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</row>
    <row r="848"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</row>
    <row r="849"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</row>
    <row r="850"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</row>
    <row r="851"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</row>
    <row r="852"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</row>
    <row r="853"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</row>
    <row r="854"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</row>
    <row r="855"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</row>
    <row r="856"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</row>
    <row r="857"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</row>
    <row r="858"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</row>
    <row r="859"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</row>
    <row r="860"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</row>
    <row r="861"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</row>
    <row r="862"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</row>
    <row r="863"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</row>
    <row r="864"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</row>
    <row r="865"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</row>
    <row r="866"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</row>
    <row r="867"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</row>
    <row r="868"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</row>
    <row r="869"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</row>
    <row r="870"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</row>
    <row r="871"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</row>
    <row r="872"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</row>
    <row r="873"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</row>
    <row r="874"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</row>
    <row r="875"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</row>
    <row r="876"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</row>
    <row r="877"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</row>
    <row r="878"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</row>
    <row r="879"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</row>
    <row r="880"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</row>
    <row r="881"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</row>
    <row r="882"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</row>
    <row r="883"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</row>
    <row r="884"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</row>
    <row r="885"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</row>
    <row r="886"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</row>
    <row r="887"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</row>
    <row r="888"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</row>
    <row r="889"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</row>
    <row r="890"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</row>
    <row r="891"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</row>
    <row r="892"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</row>
    <row r="893"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</row>
    <row r="894"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</row>
    <row r="895"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</row>
    <row r="896"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</row>
    <row r="897"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</row>
    <row r="898"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</row>
    <row r="899"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</row>
    <row r="900"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</row>
    <row r="901"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</row>
    <row r="902"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</row>
    <row r="903"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</row>
    <row r="904"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</row>
    <row r="905"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</row>
    <row r="906"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</row>
    <row r="907"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</row>
    <row r="908"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</row>
    <row r="909"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</row>
    <row r="910"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</row>
    <row r="911"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</row>
    <row r="912"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</row>
    <row r="913"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</row>
    <row r="914"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</row>
    <row r="915"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</row>
    <row r="916"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</row>
    <row r="917"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</row>
    <row r="918"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</row>
    <row r="919"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</row>
    <row r="920"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</row>
    <row r="921"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</row>
    <row r="922"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</row>
    <row r="923"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</row>
    <row r="924"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</row>
    <row r="925"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</row>
    <row r="926"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</row>
    <row r="927"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</row>
    <row r="928"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</row>
    <row r="929"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</row>
    <row r="930"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</row>
    <row r="931"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</row>
    <row r="932"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</row>
    <row r="933"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</row>
    <row r="934"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</row>
    <row r="935"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</row>
    <row r="936"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</row>
    <row r="937"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</row>
    <row r="938"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</row>
    <row r="939"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</row>
    <row r="940"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</row>
    <row r="941"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</row>
    <row r="942"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</row>
    <row r="943"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</row>
    <row r="944"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</row>
    <row r="945"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</row>
    <row r="946"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</row>
    <row r="947"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</row>
    <row r="948"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</row>
    <row r="949"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</row>
    <row r="950"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</row>
    <row r="951"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</row>
    <row r="952"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</row>
    <row r="953"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</row>
    <row r="954"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</row>
    <row r="955"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</row>
    <row r="956"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</row>
    <row r="957"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</row>
    <row r="958"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</row>
    <row r="959"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</row>
    <row r="960"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</row>
    <row r="961"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</row>
    <row r="962"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</row>
    <row r="963"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</row>
    <row r="964"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</row>
    <row r="965"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</row>
    <row r="966"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</row>
    <row r="967"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</row>
    <row r="968"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</row>
    <row r="969"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</row>
    <row r="970"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</row>
    <row r="971"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</row>
    <row r="972"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</row>
    <row r="973"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</row>
    <row r="974"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</row>
    <row r="975"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</row>
    <row r="976"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</row>
    <row r="977"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</row>
    <row r="978"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</row>
    <row r="979"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</row>
    <row r="980"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</row>
    <row r="981"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</row>
    <row r="982"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</row>
    <row r="983"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</row>
    <row r="984"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</row>
    <row r="985"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</row>
    <row r="986"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</row>
    <row r="987"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</row>
    <row r="988"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</row>
    <row r="989"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</row>
    <row r="990"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</row>
    <row r="991"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</row>
    <row r="992"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</row>
    <row r="993"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</row>
    <row r="994"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</row>
    <row r="995"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</row>
    <row r="996"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</row>
    <row r="997"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</row>
    <row r="998"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</row>
    <row r="999"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</row>
    <row r="1000"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</row>
    <row r="1001">
      <c r="AD1001" s="28"/>
      <c r="AE1001" s="28"/>
      <c r="AF1001" s="28"/>
      <c r="AG1001" s="28"/>
      <c r="AH1001" s="28"/>
      <c r="AI1001" s="28"/>
      <c r="AJ1001" s="28"/>
      <c r="AK1001" s="28"/>
      <c r="AL1001" s="28"/>
      <c r="AM1001" s="28"/>
      <c r="AN1001" s="28"/>
      <c r="AO1001" s="28"/>
      <c r="AP1001" s="28"/>
    </row>
    <row r="1002">
      <c r="AD1002" s="28"/>
      <c r="AE1002" s="28"/>
      <c r="AF1002" s="28"/>
      <c r="AG1002" s="28"/>
      <c r="AH1002" s="28"/>
      <c r="AI1002" s="28"/>
      <c r="AJ1002" s="28"/>
      <c r="AK1002" s="28"/>
      <c r="AL1002" s="28"/>
      <c r="AM1002" s="28"/>
      <c r="AN1002" s="28"/>
      <c r="AO1002" s="28"/>
      <c r="AP1002" s="28"/>
    </row>
  </sheetData>
  <mergeCells count="23">
    <mergeCell ref="C5:I5"/>
    <mergeCell ref="A1:H3"/>
    <mergeCell ref="I2:N2"/>
    <mergeCell ref="A18:B18"/>
    <mergeCell ref="A19:B19"/>
    <mergeCell ref="A20:B20"/>
    <mergeCell ref="A5:B7"/>
    <mergeCell ref="J5:P5"/>
    <mergeCell ref="AE5:AK5"/>
    <mergeCell ref="AM5:AP6"/>
    <mergeCell ref="W2:AC2"/>
    <mergeCell ref="AD2:AG2"/>
    <mergeCell ref="A4:AG4"/>
    <mergeCell ref="O1:V1"/>
    <mergeCell ref="O2:V2"/>
    <mergeCell ref="I1:N1"/>
    <mergeCell ref="W1:AC1"/>
    <mergeCell ref="AD1:AG1"/>
    <mergeCell ref="Q5:W5"/>
    <mergeCell ref="AM19:AP26"/>
    <mergeCell ref="AM18:AP18"/>
    <mergeCell ref="I3:AG3"/>
    <mergeCell ref="X5:AD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26.25"/>
    <col customWidth="1" min="3" max="22" width="4.13"/>
    <col customWidth="1" min="23" max="23" width="4.5"/>
    <col customWidth="1" min="24" max="35" width="4.13"/>
    <col customWidth="1" min="36" max="36" width="5.38"/>
    <col customWidth="1" min="37" max="37" width="3.75"/>
    <col customWidth="1" min="38" max="38" width="9.25"/>
    <col customWidth="1" min="39" max="39" width="6.75"/>
    <col customWidth="1" min="40" max="40" width="6.0"/>
    <col customWidth="1" min="41" max="41" width="6.88"/>
    <col customWidth="1" min="42" max="42" width="13.25"/>
  </cols>
  <sheetData>
    <row r="1" ht="36.75" customHeight="1">
      <c r="A1" s="1" t="s">
        <v>0</v>
      </c>
      <c r="I1" s="2" t="s">
        <v>1</v>
      </c>
      <c r="O1" s="2" t="s">
        <v>2</v>
      </c>
      <c r="W1" s="2" t="s">
        <v>3</v>
      </c>
      <c r="AD1" s="2" t="s">
        <v>4</v>
      </c>
      <c r="AH1" s="3"/>
      <c r="AI1" s="3"/>
      <c r="AJ1" s="3"/>
      <c r="AK1" s="3"/>
      <c r="AL1" s="3"/>
    </row>
    <row r="2">
      <c r="I2" s="2">
        <v>8.0</v>
      </c>
      <c r="O2" s="4">
        <f>COUNTIF(C8:AG12, TRUE)</f>
        <v>1</v>
      </c>
      <c r="W2" s="5" t="str">
        <f>IFERROR(__xludf.DUMMYFUNCTION("SPARKLINE(AD2, {""charttype"",""bar""; ""max"",1;""color1"",""green""; ""empty"",""zero""})"),"")</f>
        <v/>
      </c>
      <c r="X2" s="6"/>
      <c r="Y2" s="6"/>
      <c r="Z2" s="6"/>
      <c r="AA2" s="6"/>
      <c r="AB2" s="6"/>
      <c r="AC2" s="7"/>
      <c r="AD2" s="8">
        <f>SUM(O2) / (COUNTA(C8:AG8) * ROWS(C8:AG15))</f>
        <v>0.004032258065</v>
      </c>
      <c r="AH2" s="3"/>
      <c r="AI2" s="3"/>
      <c r="AJ2" s="3"/>
      <c r="AK2" s="3"/>
      <c r="AL2" s="3"/>
    </row>
    <row r="3">
      <c r="I3" s="9"/>
      <c r="AH3" s="3"/>
      <c r="AI3" s="3"/>
      <c r="AJ3" s="3"/>
      <c r="AK3" s="3"/>
      <c r="AL3" s="3"/>
    </row>
    <row r="4">
      <c r="A4" s="10"/>
      <c r="AH4" s="3"/>
      <c r="AI4" s="3"/>
      <c r="AJ4" s="3"/>
      <c r="AK4" s="3"/>
      <c r="AL4" s="3"/>
      <c r="AM4" s="3"/>
      <c r="AN4" s="3"/>
      <c r="AO4" s="3"/>
      <c r="AP4" s="3"/>
    </row>
    <row r="5">
      <c r="A5" s="11" t="s">
        <v>5</v>
      </c>
      <c r="C5" s="12" t="s">
        <v>6</v>
      </c>
      <c r="J5" s="11" t="s">
        <v>7</v>
      </c>
      <c r="Q5" s="12" t="s">
        <v>8</v>
      </c>
      <c r="X5" s="11" t="s">
        <v>9</v>
      </c>
      <c r="AE5" s="12" t="s">
        <v>10</v>
      </c>
      <c r="AL5" s="11" t="s">
        <v>35</v>
      </c>
      <c r="AM5" s="13" t="s">
        <v>11</v>
      </c>
    </row>
    <row r="6"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2" t="s">
        <v>17</v>
      </c>
      <c r="I6" s="12" t="s">
        <v>18</v>
      </c>
      <c r="J6" s="11" t="s">
        <v>12</v>
      </c>
      <c r="K6" s="11" t="s">
        <v>13</v>
      </c>
      <c r="L6" s="11" t="s">
        <v>14</v>
      </c>
      <c r="M6" s="11" t="s">
        <v>15</v>
      </c>
      <c r="N6" s="11" t="s">
        <v>16</v>
      </c>
      <c r="O6" s="11" t="s">
        <v>17</v>
      </c>
      <c r="P6" s="11" t="s">
        <v>18</v>
      </c>
      <c r="Q6" s="12" t="s">
        <v>12</v>
      </c>
      <c r="R6" s="12" t="s">
        <v>13</v>
      </c>
      <c r="S6" s="12" t="s">
        <v>14</v>
      </c>
      <c r="T6" s="12" t="s">
        <v>15</v>
      </c>
      <c r="U6" s="12" t="s">
        <v>16</v>
      </c>
      <c r="V6" s="12" t="s">
        <v>17</v>
      </c>
      <c r="W6" s="12" t="s">
        <v>18</v>
      </c>
      <c r="X6" s="11" t="s">
        <v>12</v>
      </c>
      <c r="Y6" s="11" t="s">
        <v>13</v>
      </c>
      <c r="Z6" s="11" t="s">
        <v>14</v>
      </c>
      <c r="AA6" s="11" t="s">
        <v>15</v>
      </c>
      <c r="AB6" s="11" t="s">
        <v>16</v>
      </c>
      <c r="AC6" s="11" t="s">
        <v>17</v>
      </c>
      <c r="AD6" s="11" t="s">
        <v>18</v>
      </c>
      <c r="AE6" s="12" t="s">
        <v>12</v>
      </c>
      <c r="AF6" s="12" t="s">
        <v>13</v>
      </c>
      <c r="AG6" s="12" t="s">
        <v>14</v>
      </c>
      <c r="AH6" s="12" t="s">
        <v>15</v>
      </c>
      <c r="AI6" s="12" t="s">
        <v>16</v>
      </c>
      <c r="AJ6" s="12" t="s">
        <v>17</v>
      </c>
      <c r="AK6" s="12" t="s">
        <v>18</v>
      </c>
      <c r="AL6" s="11" t="s">
        <v>12</v>
      </c>
    </row>
    <row r="7">
      <c r="C7" s="12">
        <v>27.0</v>
      </c>
      <c r="D7" s="12">
        <v>28.0</v>
      </c>
      <c r="E7" s="12">
        <v>29.0</v>
      </c>
      <c r="F7" s="12">
        <v>30.0</v>
      </c>
      <c r="G7" s="12">
        <v>31.0</v>
      </c>
      <c r="H7" s="12">
        <v>1.0</v>
      </c>
      <c r="I7" s="12">
        <v>2.0</v>
      </c>
      <c r="J7" s="11">
        <v>3.0</v>
      </c>
      <c r="K7" s="11">
        <v>4.0</v>
      </c>
      <c r="L7" s="11">
        <v>5.0</v>
      </c>
      <c r="M7" s="11">
        <v>6.0</v>
      </c>
      <c r="N7" s="11">
        <v>7.0</v>
      </c>
      <c r="O7" s="11">
        <v>8.0</v>
      </c>
      <c r="P7" s="11">
        <v>9.0</v>
      </c>
      <c r="Q7" s="12">
        <v>10.0</v>
      </c>
      <c r="R7" s="12">
        <v>11.0</v>
      </c>
      <c r="S7" s="12">
        <v>12.0</v>
      </c>
      <c r="T7" s="12">
        <v>13.0</v>
      </c>
      <c r="U7" s="12">
        <v>14.0</v>
      </c>
      <c r="V7" s="12">
        <v>15.0</v>
      </c>
      <c r="W7" s="12">
        <v>16.0</v>
      </c>
      <c r="X7" s="11">
        <v>17.0</v>
      </c>
      <c r="Y7" s="11">
        <v>18.0</v>
      </c>
      <c r="Z7" s="11">
        <v>19.0</v>
      </c>
      <c r="AA7" s="11">
        <v>20.0</v>
      </c>
      <c r="AB7" s="11">
        <v>21.0</v>
      </c>
      <c r="AC7" s="11">
        <v>22.0</v>
      </c>
      <c r="AD7" s="11">
        <v>23.0</v>
      </c>
      <c r="AE7" s="12">
        <v>24.0</v>
      </c>
      <c r="AF7" s="12">
        <v>25.0</v>
      </c>
      <c r="AG7" s="12">
        <v>26.0</v>
      </c>
      <c r="AH7" s="12">
        <v>27.0</v>
      </c>
      <c r="AI7" s="12">
        <v>28.0</v>
      </c>
      <c r="AJ7" s="12">
        <v>29.0</v>
      </c>
      <c r="AK7" s="12">
        <v>30.0</v>
      </c>
      <c r="AL7" s="11">
        <v>31.0</v>
      </c>
      <c r="AM7" s="14" t="s">
        <v>19</v>
      </c>
      <c r="AN7" s="14" t="s">
        <v>20</v>
      </c>
      <c r="AO7" s="14" t="s">
        <v>21</v>
      </c>
      <c r="AP7" s="14" t="s">
        <v>3</v>
      </c>
    </row>
    <row r="8">
      <c r="A8" s="15">
        <v>1.0</v>
      </c>
      <c r="B8" s="15" t="s">
        <v>22</v>
      </c>
      <c r="C8" s="16" t="b">
        <v>1</v>
      </c>
      <c r="D8" s="16" t="b">
        <v>0</v>
      </c>
      <c r="E8" s="16" t="b">
        <v>0</v>
      </c>
      <c r="F8" s="16" t="b">
        <v>0</v>
      </c>
      <c r="G8" s="16" t="b">
        <v>0</v>
      </c>
      <c r="H8" s="16" t="b">
        <v>0</v>
      </c>
      <c r="I8" s="16" t="b">
        <v>0</v>
      </c>
      <c r="J8" s="17" t="b">
        <v>0</v>
      </c>
      <c r="K8" s="17" t="b">
        <v>0</v>
      </c>
      <c r="L8" s="17" t="b">
        <v>0</v>
      </c>
      <c r="M8" s="17" t="b">
        <v>0</v>
      </c>
      <c r="N8" s="17" t="b">
        <v>0</v>
      </c>
      <c r="O8" s="17" t="b">
        <v>0</v>
      </c>
      <c r="P8" s="17" t="b">
        <v>0</v>
      </c>
      <c r="Q8" s="16" t="b">
        <v>0</v>
      </c>
      <c r="R8" s="16" t="b">
        <v>0</v>
      </c>
      <c r="S8" s="16" t="b">
        <v>0</v>
      </c>
      <c r="T8" s="16" t="b">
        <v>0</v>
      </c>
      <c r="U8" s="16" t="b">
        <v>0</v>
      </c>
      <c r="V8" s="16" t="b">
        <v>0</v>
      </c>
      <c r="W8" s="16" t="b">
        <v>0</v>
      </c>
      <c r="X8" s="17" t="b">
        <v>0</v>
      </c>
      <c r="Y8" s="17" t="b">
        <v>0</v>
      </c>
      <c r="Z8" s="17" t="b">
        <v>0</v>
      </c>
      <c r="AA8" s="17" t="b">
        <v>0</v>
      </c>
      <c r="AB8" s="17" t="b">
        <v>0</v>
      </c>
      <c r="AC8" s="17" t="b">
        <v>0</v>
      </c>
      <c r="AD8" s="17" t="b">
        <v>0</v>
      </c>
      <c r="AE8" s="16" t="b">
        <v>0</v>
      </c>
      <c r="AF8" s="16" t="b">
        <v>0</v>
      </c>
      <c r="AG8" s="16" t="b">
        <v>0</v>
      </c>
      <c r="AH8" s="16" t="b">
        <v>0</v>
      </c>
      <c r="AI8" s="16" t="b">
        <v>0</v>
      </c>
      <c r="AJ8" s="16" t="b">
        <v>0</v>
      </c>
      <c r="AK8" s="16" t="b">
        <v>0</v>
      </c>
      <c r="AL8" s="17" t="b">
        <v>0</v>
      </c>
      <c r="AM8" s="18">
        <v>31.0</v>
      </c>
      <c r="AN8" s="18">
        <f t="shared" ref="AN8:AN15" si="1">COUNTIF(C8:AK8, TRUE)</f>
        <v>1</v>
      </c>
      <c r="AO8" s="19">
        <f t="shared" ref="AO8:AO15" si="2">SUM(AN8 / (COUNTA(C8:AK8) * ROWS(C8:AK8)))</f>
        <v>0.02857142857</v>
      </c>
      <c r="AP8" s="20" t="str">
        <f>IFERROR(__xludf.DUMMYFUNCTION("SPARKLINE(AO8, {""charttype"",""bar""; ""max"",1;""color1"",""green""; ""empty"",""zero""})"),"")</f>
        <v/>
      </c>
    </row>
    <row r="9">
      <c r="A9" s="15">
        <v>2.0</v>
      </c>
      <c r="B9" s="15" t="s">
        <v>23</v>
      </c>
      <c r="C9" s="16" t="b">
        <v>0</v>
      </c>
      <c r="D9" s="21" t="b">
        <v>0</v>
      </c>
      <c r="E9" s="16" t="b">
        <v>0</v>
      </c>
      <c r="F9" s="21" t="b">
        <v>0</v>
      </c>
      <c r="G9" s="16" t="b">
        <v>0</v>
      </c>
      <c r="H9" s="21" t="b">
        <v>0</v>
      </c>
      <c r="I9" s="21" t="b">
        <v>0</v>
      </c>
      <c r="J9" s="22" t="b">
        <v>0</v>
      </c>
      <c r="K9" s="22" t="b">
        <v>0</v>
      </c>
      <c r="L9" s="22" t="b">
        <v>0</v>
      </c>
      <c r="M9" s="22" t="b">
        <v>0</v>
      </c>
      <c r="N9" s="22" t="b">
        <v>0</v>
      </c>
      <c r="O9" s="17" t="b">
        <v>0</v>
      </c>
      <c r="P9" s="17" t="b">
        <v>0</v>
      </c>
      <c r="Q9" s="21" t="b">
        <v>0</v>
      </c>
      <c r="R9" s="16" t="b">
        <v>0</v>
      </c>
      <c r="S9" s="16" t="b">
        <v>0</v>
      </c>
      <c r="T9" s="21" t="b">
        <v>0</v>
      </c>
      <c r="U9" s="16" t="b">
        <v>0</v>
      </c>
      <c r="V9" s="16" t="b">
        <v>0</v>
      </c>
      <c r="W9" s="21" t="b">
        <v>0</v>
      </c>
      <c r="X9" s="17" t="b">
        <v>0</v>
      </c>
      <c r="Y9" s="22" t="b">
        <v>0</v>
      </c>
      <c r="Z9" s="22" t="b">
        <v>0</v>
      </c>
      <c r="AA9" s="22" t="b">
        <v>0</v>
      </c>
      <c r="AB9" s="22" t="b">
        <v>0</v>
      </c>
      <c r="AC9" s="22" t="b">
        <v>0</v>
      </c>
      <c r="AD9" s="22" t="b">
        <v>0</v>
      </c>
      <c r="AE9" s="21" t="b">
        <v>0</v>
      </c>
      <c r="AF9" s="21" t="b">
        <v>0</v>
      </c>
      <c r="AG9" s="21" t="b">
        <v>0</v>
      </c>
      <c r="AH9" s="21" t="b">
        <v>0</v>
      </c>
      <c r="AI9" s="21" t="b">
        <v>0</v>
      </c>
      <c r="AJ9" s="16" t="b">
        <v>0</v>
      </c>
      <c r="AK9" s="21" t="b">
        <v>0</v>
      </c>
      <c r="AL9" s="22" t="b">
        <v>0</v>
      </c>
      <c r="AM9" s="18">
        <v>31.0</v>
      </c>
      <c r="AN9" s="18">
        <f t="shared" si="1"/>
        <v>0</v>
      </c>
      <c r="AO9" s="19">
        <f t="shared" si="2"/>
        <v>0</v>
      </c>
      <c r="AP9" s="20" t="str">
        <f>IFERROR(__xludf.DUMMYFUNCTION("SPARKLINE(AO9, {""charttype"",""bar""; ""max"",1;""color1"",""green""; ""empty"",""zero""})"),"")</f>
        <v/>
      </c>
    </row>
    <row r="10">
      <c r="A10" s="15">
        <v>3.0</v>
      </c>
      <c r="B10" s="15" t="s">
        <v>24</v>
      </c>
      <c r="C10" s="16" t="b">
        <v>0</v>
      </c>
      <c r="D10" s="21" t="b">
        <v>0</v>
      </c>
      <c r="E10" s="16" t="b">
        <v>0</v>
      </c>
      <c r="F10" s="21" t="b">
        <v>0</v>
      </c>
      <c r="G10" s="16" t="b">
        <v>0</v>
      </c>
      <c r="H10" s="21" t="b">
        <v>0</v>
      </c>
      <c r="I10" s="16" t="b">
        <v>0</v>
      </c>
      <c r="J10" s="22" t="b">
        <v>0</v>
      </c>
      <c r="K10" s="22" t="b">
        <v>0</v>
      </c>
      <c r="L10" s="22" t="b">
        <v>0</v>
      </c>
      <c r="M10" s="22" t="b">
        <v>0</v>
      </c>
      <c r="N10" s="22" t="b">
        <v>0</v>
      </c>
      <c r="O10" s="22" t="b">
        <v>0</v>
      </c>
      <c r="P10" s="17" t="b">
        <v>0</v>
      </c>
      <c r="Q10" s="21" t="b">
        <v>0</v>
      </c>
      <c r="R10" s="21" t="b">
        <v>0</v>
      </c>
      <c r="S10" s="16" t="b">
        <v>0</v>
      </c>
      <c r="T10" s="21" t="b">
        <v>0</v>
      </c>
      <c r="U10" s="16" t="b">
        <v>0</v>
      </c>
      <c r="V10" s="16" t="b">
        <v>0</v>
      </c>
      <c r="W10" s="21" t="b">
        <v>0</v>
      </c>
      <c r="X10" s="17" t="b">
        <v>0</v>
      </c>
      <c r="Y10" s="22" t="b">
        <v>0</v>
      </c>
      <c r="Z10" s="22" t="b">
        <v>0</v>
      </c>
      <c r="AA10" s="22" t="b">
        <v>0</v>
      </c>
      <c r="AB10" s="22" t="b">
        <v>0</v>
      </c>
      <c r="AC10" s="22" t="b">
        <v>0</v>
      </c>
      <c r="AD10" s="22" t="b">
        <v>0</v>
      </c>
      <c r="AE10" s="21" t="b">
        <v>0</v>
      </c>
      <c r="AF10" s="21" t="b">
        <v>0</v>
      </c>
      <c r="AG10" s="21" t="b">
        <v>0</v>
      </c>
      <c r="AH10" s="21" t="b">
        <v>0</v>
      </c>
      <c r="AI10" s="16" t="b">
        <v>0</v>
      </c>
      <c r="AJ10" s="16" t="b">
        <v>0</v>
      </c>
      <c r="AK10" s="21" t="b">
        <v>0</v>
      </c>
      <c r="AL10" s="22" t="b">
        <v>0</v>
      </c>
      <c r="AM10" s="18">
        <v>31.0</v>
      </c>
      <c r="AN10" s="18">
        <f t="shared" si="1"/>
        <v>0</v>
      </c>
      <c r="AO10" s="19">
        <f t="shared" si="2"/>
        <v>0</v>
      </c>
      <c r="AP10" s="20" t="str">
        <f>IFERROR(__xludf.DUMMYFUNCTION("SPARKLINE(AO10, {""charttype"",""bar""; ""max"",1;""color1"",""green""; ""empty"",""zero""})"),"")</f>
        <v/>
      </c>
    </row>
    <row r="11">
      <c r="A11" s="15">
        <v>4.0</v>
      </c>
      <c r="B11" s="15" t="s">
        <v>25</v>
      </c>
      <c r="C11" s="16" t="b">
        <v>0</v>
      </c>
      <c r="D11" s="16" t="b">
        <v>0</v>
      </c>
      <c r="E11" s="16" t="b">
        <v>0</v>
      </c>
      <c r="F11" s="16" t="b">
        <v>0</v>
      </c>
      <c r="G11" s="16" t="b">
        <v>0</v>
      </c>
      <c r="H11" s="16" t="b">
        <v>0</v>
      </c>
      <c r="I11" s="16" t="b">
        <v>0</v>
      </c>
      <c r="J11" s="22" t="b">
        <v>0</v>
      </c>
      <c r="K11" s="22" t="b">
        <v>0</v>
      </c>
      <c r="L11" s="22" t="b">
        <v>0</v>
      </c>
      <c r="M11" s="22" t="b">
        <v>0</v>
      </c>
      <c r="N11" s="17" t="b">
        <v>0</v>
      </c>
      <c r="O11" s="22" t="b">
        <v>0</v>
      </c>
      <c r="P11" s="22" t="b">
        <v>0</v>
      </c>
      <c r="Q11" s="21" t="b">
        <v>0</v>
      </c>
      <c r="R11" s="16" t="b">
        <v>0</v>
      </c>
      <c r="S11" s="16" t="b">
        <v>0</v>
      </c>
      <c r="T11" s="21" t="b">
        <v>0</v>
      </c>
      <c r="U11" s="16" t="b">
        <v>0</v>
      </c>
      <c r="V11" s="16" t="b">
        <v>0</v>
      </c>
      <c r="W11" s="21" t="b">
        <v>0</v>
      </c>
      <c r="X11" s="17" t="b">
        <v>0</v>
      </c>
      <c r="Y11" s="22" t="b">
        <v>0</v>
      </c>
      <c r="Z11" s="22" t="b">
        <v>0</v>
      </c>
      <c r="AA11" s="22" t="b">
        <v>0</v>
      </c>
      <c r="AB11" s="22" t="b">
        <v>0</v>
      </c>
      <c r="AC11" s="22" t="b">
        <v>0</v>
      </c>
      <c r="AD11" s="22" t="b">
        <v>0</v>
      </c>
      <c r="AE11" s="21" t="b">
        <v>0</v>
      </c>
      <c r="AF11" s="21" t="b">
        <v>0</v>
      </c>
      <c r="AG11" s="21" t="b">
        <v>0</v>
      </c>
      <c r="AH11" s="21" t="b">
        <v>0</v>
      </c>
      <c r="AI11" s="16" t="b">
        <v>0</v>
      </c>
      <c r="AJ11" s="21" t="b">
        <v>0</v>
      </c>
      <c r="AK11" s="21" t="b">
        <v>0</v>
      </c>
      <c r="AL11" s="22" t="b">
        <v>0</v>
      </c>
      <c r="AM11" s="18">
        <v>31.0</v>
      </c>
      <c r="AN11" s="18">
        <f t="shared" si="1"/>
        <v>0</v>
      </c>
      <c r="AO11" s="19">
        <f t="shared" si="2"/>
        <v>0</v>
      </c>
      <c r="AP11" s="20" t="str">
        <f>IFERROR(__xludf.DUMMYFUNCTION("SPARKLINE(AO11, {""charttype"",""bar""; ""max"",1;""color1"",""green""; ""empty"",""zero""})"),"")</f>
        <v/>
      </c>
    </row>
    <row r="12">
      <c r="A12" s="15">
        <v>5.0</v>
      </c>
      <c r="B12" s="15" t="s">
        <v>26</v>
      </c>
      <c r="C12" s="16" t="b">
        <v>0</v>
      </c>
      <c r="D12" s="16" t="b">
        <v>0</v>
      </c>
      <c r="E12" s="21" t="b">
        <v>0</v>
      </c>
      <c r="F12" s="21" t="b">
        <v>0</v>
      </c>
      <c r="G12" s="16" t="b">
        <v>0</v>
      </c>
      <c r="H12" s="16" t="b">
        <v>0</v>
      </c>
      <c r="I12" s="16" t="b">
        <v>0</v>
      </c>
      <c r="J12" s="22" t="b">
        <v>0</v>
      </c>
      <c r="K12" s="22" t="b">
        <v>0</v>
      </c>
      <c r="L12" s="17" t="b">
        <v>0</v>
      </c>
      <c r="M12" s="17" t="b">
        <v>0</v>
      </c>
      <c r="N12" s="17" t="b">
        <v>0</v>
      </c>
      <c r="O12" s="22" t="b">
        <v>0</v>
      </c>
      <c r="P12" s="22" t="b">
        <v>0</v>
      </c>
      <c r="Q12" s="16" t="b">
        <v>0</v>
      </c>
      <c r="R12" s="16" t="b">
        <v>0</v>
      </c>
      <c r="S12" s="21" t="b">
        <v>0</v>
      </c>
      <c r="T12" s="21" t="b">
        <v>0</v>
      </c>
      <c r="U12" s="16" t="b">
        <v>0</v>
      </c>
      <c r="V12" s="16" t="b">
        <v>0</v>
      </c>
      <c r="W12" s="21" t="b">
        <v>0</v>
      </c>
      <c r="X12" s="17" t="b">
        <v>0</v>
      </c>
      <c r="Y12" s="22" t="b">
        <v>0</v>
      </c>
      <c r="Z12" s="22" t="b">
        <v>0</v>
      </c>
      <c r="AA12" s="22" t="b">
        <v>0</v>
      </c>
      <c r="AB12" s="22" t="b">
        <v>0</v>
      </c>
      <c r="AC12" s="22" t="b">
        <v>0</v>
      </c>
      <c r="AD12" s="22" t="b">
        <v>0</v>
      </c>
      <c r="AE12" s="21" t="b">
        <v>0</v>
      </c>
      <c r="AF12" s="21" t="b">
        <v>0</v>
      </c>
      <c r="AG12" s="21" t="b">
        <v>0</v>
      </c>
      <c r="AH12" s="21" t="b">
        <v>0</v>
      </c>
      <c r="AI12" s="21" t="b">
        <v>0</v>
      </c>
      <c r="AJ12" s="21" t="b">
        <v>0</v>
      </c>
      <c r="AK12" s="21" t="b">
        <v>0</v>
      </c>
      <c r="AL12" s="22" t="b">
        <v>0</v>
      </c>
      <c r="AM12" s="18">
        <v>31.0</v>
      </c>
      <c r="AN12" s="18">
        <f t="shared" si="1"/>
        <v>0</v>
      </c>
      <c r="AO12" s="19">
        <f t="shared" si="2"/>
        <v>0</v>
      </c>
      <c r="AP12" s="20" t="str">
        <f>IFERROR(__xludf.DUMMYFUNCTION("SPARKLINE(AO12, {""charttype"",""bar""; ""max"",1;""color1"",""green""; ""empty"",""zero""})"),"")</f>
        <v/>
      </c>
    </row>
    <row r="13">
      <c r="A13" s="15">
        <v>6.0</v>
      </c>
      <c r="B13" s="15" t="s">
        <v>27</v>
      </c>
      <c r="C13" s="16" t="b">
        <v>0</v>
      </c>
      <c r="D13" s="21" t="b">
        <v>0</v>
      </c>
      <c r="E13" s="21" t="b">
        <v>0</v>
      </c>
      <c r="F13" s="21" t="b">
        <v>0</v>
      </c>
      <c r="G13" s="21" t="b">
        <v>0</v>
      </c>
      <c r="H13" s="21" t="b">
        <v>0</v>
      </c>
      <c r="I13" s="16" t="b">
        <v>0</v>
      </c>
      <c r="J13" s="17" t="b">
        <v>0</v>
      </c>
      <c r="K13" s="22" t="b">
        <v>0</v>
      </c>
      <c r="L13" s="22" t="b">
        <v>0</v>
      </c>
      <c r="M13" s="22" t="b">
        <v>0</v>
      </c>
      <c r="N13" s="17" t="b">
        <v>0</v>
      </c>
      <c r="O13" s="22" t="b">
        <v>0</v>
      </c>
      <c r="P13" s="22" t="b">
        <v>0</v>
      </c>
      <c r="Q13" s="21" t="b">
        <v>0</v>
      </c>
      <c r="R13" s="16" t="b">
        <v>0</v>
      </c>
      <c r="S13" s="21" t="b">
        <v>0</v>
      </c>
      <c r="T13" s="21" t="b">
        <v>0</v>
      </c>
      <c r="U13" s="16" t="b">
        <v>0</v>
      </c>
      <c r="V13" s="16" t="b">
        <v>0</v>
      </c>
      <c r="W13" s="21" t="b">
        <v>0</v>
      </c>
      <c r="X13" s="17" t="b">
        <v>0</v>
      </c>
      <c r="Y13" s="22" t="b">
        <v>0</v>
      </c>
      <c r="Z13" s="22" t="b">
        <v>0</v>
      </c>
      <c r="AA13" s="22" t="b">
        <v>0</v>
      </c>
      <c r="AB13" s="22" t="b">
        <v>0</v>
      </c>
      <c r="AC13" s="17" t="b">
        <v>0</v>
      </c>
      <c r="AD13" s="22" t="b">
        <v>0</v>
      </c>
      <c r="AE13" s="21" t="b">
        <v>0</v>
      </c>
      <c r="AF13" s="21" t="b">
        <v>0</v>
      </c>
      <c r="AG13" s="21" t="b">
        <v>0</v>
      </c>
      <c r="AH13" s="21" t="b">
        <v>0</v>
      </c>
      <c r="AI13" s="21" t="b">
        <v>0</v>
      </c>
      <c r="AJ13" s="21" t="b">
        <v>0</v>
      </c>
      <c r="AK13" s="21" t="b">
        <v>0</v>
      </c>
      <c r="AL13" s="22" t="b">
        <v>0</v>
      </c>
      <c r="AM13" s="18">
        <v>31.0</v>
      </c>
      <c r="AN13" s="18">
        <f t="shared" si="1"/>
        <v>0</v>
      </c>
      <c r="AO13" s="19">
        <f t="shared" si="2"/>
        <v>0</v>
      </c>
      <c r="AP13" s="20" t="str">
        <f>IFERROR(__xludf.DUMMYFUNCTION("SPARKLINE(AO13, {""charttype"",""bar""; ""max"",1;""color1"",""green""; ""empty"",""zero""})"),"")</f>
        <v/>
      </c>
    </row>
    <row r="14">
      <c r="A14" s="15">
        <v>7.0</v>
      </c>
      <c r="B14" s="15" t="s">
        <v>28</v>
      </c>
      <c r="C14" s="16" t="b">
        <v>0</v>
      </c>
      <c r="D14" s="16" t="b">
        <v>0</v>
      </c>
      <c r="E14" s="21" t="b">
        <v>0</v>
      </c>
      <c r="F14" s="21" t="b">
        <v>0</v>
      </c>
      <c r="G14" s="16" t="b">
        <v>0</v>
      </c>
      <c r="H14" s="21" t="b">
        <v>0</v>
      </c>
      <c r="I14" s="21" t="b">
        <v>0</v>
      </c>
      <c r="J14" s="17" t="b">
        <v>0</v>
      </c>
      <c r="K14" s="22" t="b">
        <v>0</v>
      </c>
      <c r="L14" s="17" t="b">
        <v>0</v>
      </c>
      <c r="M14" s="17" t="b">
        <v>0</v>
      </c>
      <c r="N14" s="22" t="b">
        <v>0</v>
      </c>
      <c r="O14" s="22" t="b">
        <v>0</v>
      </c>
      <c r="P14" s="22" t="b">
        <v>0</v>
      </c>
      <c r="Q14" s="21" t="b">
        <v>0</v>
      </c>
      <c r="R14" s="16" t="b">
        <v>0</v>
      </c>
      <c r="S14" s="21" t="b">
        <v>0</v>
      </c>
      <c r="T14" s="21" t="b">
        <v>0</v>
      </c>
      <c r="U14" s="16" t="b">
        <v>0</v>
      </c>
      <c r="V14" s="16" t="b">
        <v>0</v>
      </c>
      <c r="W14" s="21" t="b">
        <v>0</v>
      </c>
      <c r="X14" s="17" t="b">
        <v>0</v>
      </c>
      <c r="Y14" s="22" t="b">
        <v>0</v>
      </c>
      <c r="Z14" s="22" t="b">
        <v>0</v>
      </c>
      <c r="AA14" s="22" t="b">
        <v>0</v>
      </c>
      <c r="AB14" s="22" t="b">
        <v>0</v>
      </c>
      <c r="AC14" s="17" t="b">
        <v>0</v>
      </c>
      <c r="AD14" s="22" t="b">
        <v>0</v>
      </c>
      <c r="AE14" s="21" t="b">
        <v>0</v>
      </c>
      <c r="AF14" s="21" t="b">
        <v>0</v>
      </c>
      <c r="AG14" s="16" t="b">
        <v>0</v>
      </c>
      <c r="AH14" s="21" t="b">
        <v>0</v>
      </c>
      <c r="AI14" s="21" t="b">
        <v>0</v>
      </c>
      <c r="AJ14" s="21" t="b">
        <v>0</v>
      </c>
      <c r="AK14" s="16" t="b">
        <v>0</v>
      </c>
      <c r="AL14" s="17" t="b">
        <v>0</v>
      </c>
      <c r="AM14" s="18">
        <v>31.0</v>
      </c>
      <c r="AN14" s="18">
        <f t="shared" si="1"/>
        <v>0</v>
      </c>
      <c r="AO14" s="19">
        <f t="shared" si="2"/>
        <v>0</v>
      </c>
      <c r="AP14" s="20" t="str">
        <f>IFERROR(__xludf.DUMMYFUNCTION("SPARKLINE(AO14, {""charttype"",""bar""; ""max"",1;""color1"",""green""; ""empty"",""zero""})"),"")</f>
        <v/>
      </c>
    </row>
    <row r="15">
      <c r="A15" s="15">
        <v>8.0</v>
      </c>
      <c r="B15" s="15" t="s">
        <v>29</v>
      </c>
      <c r="C15" s="16" t="b">
        <v>0</v>
      </c>
      <c r="D15" s="21" t="b">
        <v>0</v>
      </c>
      <c r="E15" s="21" t="b">
        <v>0</v>
      </c>
      <c r="F15" s="16" t="b">
        <v>0</v>
      </c>
      <c r="G15" s="21" t="b">
        <v>0</v>
      </c>
      <c r="H15" s="16" t="b">
        <v>0</v>
      </c>
      <c r="I15" s="21" t="b">
        <v>0</v>
      </c>
      <c r="J15" s="17" t="b">
        <v>0</v>
      </c>
      <c r="K15" s="22" t="b">
        <v>0</v>
      </c>
      <c r="L15" s="22" t="b">
        <v>0</v>
      </c>
      <c r="M15" s="17" t="b">
        <v>0</v>
      </c>
      <c r="N15" s="22" t="b">
        <v>0</v>
      </c>
      <c r="O15" s="22" t="b">
        <v>0</v>
      </c>
      <c r="P15" s="22" t="b">
        <v>0</v>
      </c>
      <c r="Q15" s="21" t="b">
        <v>0</v>
      </c>
      <c r="R15" s="16" t="b">
        <v>0</v>
      </c>
      <c r="S15" s="21" t="b">
        <v>0</v>
      </c>
      <c r="T15" s="21" t="b">
        <v>0</v>
      </c>
      <c r="U15" s="16" t="b">
        <v>0</v>
      </c>
      <c r="V15" s="16" t="b">
        <v>0</v>
      </c>
      <c r="W15" s="21" t="b">
        <v>0</v>
      </c>
      <c r="X15" s="17" t="b">
        <v>0</v>
      </c>
      <c r="Y15" s="22" t="b">
        <v>0</v>
      </c>
      <c r="Z15" s="22" t="b">
        <v>0</v>
      </c>
      <c r="AA15" s="22" t="b">
        <v>0</v>
      </c>
      <c r="AB15" s="22" t="b">
        <v>0</v>
      </c>
      <c r="AC15" s="17" t="b">
        <v>0</v>
      </c>
      <c r="AD15" s="22" t="b">
        <v>0</v>
      </c>
      <c r="AE15" s="21" t="b">
        <v>0</v>
      </c>
      <c r="AF15" s="21" t="b">
        <v>0</v>
      </c>
      <c r="AG15" s="16" t="b">
        <v>0</v>
      </c>
      <c r="AH15" s="21" t="b">
        <v>0</v>
      </c>
      <c r="AI15" s="21" t="b">
        <v>0</v>
      </c>
      <c r="AJ15" s="16" t="b">
        <v>0</v>
      </c>
      <c r="AK15" s="16" t="b">
        <v>0</v>
      </c>
      <c r="AL15" s="17" t="b">
        <v>0</v>
      </c>
      <c r="AM15" s="18">
        <v>31.0</v>
      </c>
      <c r="AN15" s="18">
        <f t="shared" si="1"/>
        <v>0</v>
      </c>
      <c r="AO15" s="19">
        <f t="shared" si="2"/>
        <v>0</v>
      </c>
      <c r="AP15" s="20" t="str">
        <f>IFERROR(__xludf.DUMMYFUNCTION("SPARKLINE(AO15, {""charttype"",""bar""; ""max"",1;""color1"",""green""; ""empty"",""zero""})"),"")</f>
        <v/>
      </c>
    </row>
    <row r="17">
      <c r="A17" s="23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>
      <c r="A18" s="15" t="s">
        <v>3</v>
      </c>
      <c r="C18" s="25">
        <f t="shared" ref="C18:AG18" si="3">IF(COUNTA(C8:C12)=0, 0, COUNTIF(C8:C12, TRUE)/COUNTA(C8:C12))</f>
        <v>0.2</v>
      </c>
      <c r="D18" s="25">
        <f t="shared" si="3"/>
        <v>0</v>
      </c>
      <c r="E18" s="25">
        <f t="shared" si="3"/>
        <v>0</v>
      </c>
      <c r="F18" s="25">
        <f t="shared" si="3"/>
        <v>0</v>
      </c>
      <c r="G18" s="25">
        <f t="shared" si="3"/>
        <v>0</v>
      </c>
      <c r="H18" s="25">
        <f t="shared" si="3"/>
        <v>0</v>
      </c>
      <c r="I18" s="25">
        <f t="shared" si="3"/>
        <v>0</v>
      </c>
      <c r="J18" s="25">
        <f t="shared" si="3"/>
        <v>0</v>
      </c>
      <c r="K18" s="25">
        <f t="shared" si="3"/>
        <v>0</v>
      </c>
      <c r="L18" s="25">
        <f t="shared" si="3"/>
        <v>0</v>
      </c>
      <c r="M18" s="25">
        <f t="shared" si="3"/>
        <v>0</v>
      </c>
      <c r="N18" s="25">
        <f t="shared" si="3"/>
        <v>0</v>
      </c>
      <c r="O18" s="25">
        <f t="shared" si="3"/>
        <v>0</v>
      </c>
      <c r="P18" s="25">
        <f t="shared" si="3"/>
        <v>0</v>
      </c>
      <c r="Q18" s="25">
        <f t="shared" si="3"/>
        <v>0</v>
      </c>
      <c r="R18" s="25">
        <f t="shared" si="3"/>
        <v>0</v>
      </c>
      <c r="S18" s="25">
        <f t="shared" si="3"/>
        <v>0</v>
      </c>
      <c r="T18" s="25">
        <f t="shared" si="3"/>
        <v>0</v>
      </c>
      <c r="U18" s="25">
        <f t="shared" si="3"/>
        <v>0</v>
      </c>
      <c r="V18" s="25">
        <f t="shared" si="3"/>
        <v>0</v>
      </c>
      <c r="W18" s="25">
        <f t="shared" si="3"/>
        <v>0</v>
      </c>
      <c r="X18" s="25">
        <f t="shared" si="3"/>
        <v>0</v>
      </c>
      <c r="Y18" s="25">
        <f t="shared" si="3"/>
        <v>0</v>
      </c>
      <c r="Z18" s="25">
        <f t="shared" si="3"/>
        <v>0</v>
      </c>
      <c r="AA18" s="25">
        <f t="shared" si="3"/>
        <v>0</v>
      </c>
      <c r="AB18" s="25">
        <f t="shared" si="3"/>
        <v>0</v>
      </c>
      <c r="AC18" s="25">
        <f t="shared" si="3"/>
        <v>0</v>
      </c>
      <c r="AD18" s="25">
        <f t="shared" si="3"/>
        <v>0</v>
      </c>
      <c r="AE18" s="25">
        <f t="shared" si="3"/>
        <v>0</v>
      </c>
      <c r="AF18" s="25">
        <f t="shared" si="3"/>
        <v>0</v>
      </c>
      <c r="AG18" s="25">
        <f t="shared" si="3"/>
        <v>0</v>
      </c>
      <c r="AH18" s="3"/>
      <c r="AI18" s="3"/>
      <c r="AJ18" s="3"/>
      <c r="AK18" s="3"/>
      <c r="AL18" s="3"/>
      <c r="AM18" s="11" t="s">
        <v>30</v>
      </c>
    </row>
    <row r="19">
      <c r="A19" s="15" t="s">
        <v>31</v>
      </c>
      <c r="C19" s="26">
        <f t="shared" ref="C19:AG19" si="4">COUNTIF(C8:C12, TRUE)</f>
        <v>1</v>
      </c>
      <c r="D19" s="26">
        <f t="shared" si="4"/>
        <v>0</v>
      </c>
      <c r="E19" s="26">
        <f t="shared" si="4"/>
        <v>0</v>
      </c>
      <c r="F19" s="26">
        <f t="shared" si="4"/>
        <v>0</v>
      </c>
      <c r="G19" s="26">
        <f t="shared" si="4"/>
        <v>0</v>
      </c>
      <c r="H19" s="26">
        <f t="shared" si="4"/>
        <v>0</v>
      </c>
      <c r="I19" s="26">
        <f t="shared" si="4"/>
        <v>0</v>
      </c>
      <c r="J19" s="26">
        <f t="shared" si="4"/>
        <v>0</v>
      </c>
      <c r="K19" s="26">
        <f t="shared" si="4"/>
        <v>0</v>
      </c>
      <c r="L19" s="26">
        <f t="shared" si="4"/>
        <v>0</v>
      </c>
      <c r="M19" s="26">
        <f t="shared" si="4"/>
        <v>0</v>
      </c>
      <c r="N19" s="26">
        <f t="shared" si="4"/>
        <v>0</v>
      </c>
      <c r="O19" s="26">
        <f t="shared" si="4"/>
        <v>0</v>
      </c>
      <c r="P19" s="26">
        <f t="shared" si="4"/>
        <v>0</v>
      </c>
      <c r="Q19" s="26">
        <f t="shared" si="4"/>
        <v>0</v>
      </c>
      <c r="R19" s="26">
        <f t="shared" si="4"/>
        <v>0</v>
      </c>
      <c r="S19" s="26">
        <f t="shared" si="4"/>
        <v>0</v>
      </c>
      <c r="T19" s="26">
        <f t="shared" si="4"/>
        <v>0</v>
      </c>
      <c r="U19" s="26">
        <f t="shared" si="4"/>
        <v>0</v>
      </c>
      <c r="V19" s="26">
        <f t="shared" si="4"/>
        <v>0</v>
      </c>
      <c r="W19" s="26">
        <f t="shared" si="4"/>
        <v>0</v>
      </c>
      <c r="X19" s="26">
        <f t="shared" si="4"/>
        <v>0</v>
      </c>
      <c r="Y19" s="26">
        <f t="shared" si="4"/>
        <v>0</v>
      </c>
      <c r="Z19" s="26">
        <f t="shared" si="4"/>
        <v>0</v>
      </c>
      <c r="AA19" s="26">
        <f t="shared" si="4"/>
        <v>0</v>
      </c>
      <c r="AB19" s="26">
        <f t="shared" si="4"/>
        <v>0</v>
      </c>
      <c r="AC19" s="26">
        <f t="shared" si="4"/>
        <v>0</v>
      </c>
      <c r="AD19" s="26">
        <f t="shared" si="4"/>
        <v>0</v>
      </c>
      <c r="AE19" s="26">
        <f t="shared" si="4"/>
        <v>0</v>
      </c>
      <c r="AF19" s="26">
        <f t="shared" si="4"/>
        <v>0</v>
      </c>
      <c r="AG19" s="26">
        <f t="shared" si="4"/>
        <v>0</v>
      </c>
      <c r="AH19" s="3"/>
      <c r="AI19" s="3"/>
      <c r="AJ19" s="3"/>
      <c r="AK19" s="3"/>
      <c r="AL19" s="3"/>
      <c r="AM19" s="27" t="s">
        <v>32</v>
      </c>
    </row>
    <row r="20">
      <c r="A20" s="15" t="s">
        <v>33</v>
      </c>
      <c r="C20" s="26">
        <f t="shared" ref="C20:AG20" si="5">COUNTIF(C8:C12, FALSE)</f>
        <v>4</v>
      </c>
      <c r="D20" s="26">
        <f t="shared" si="5"/>
        <v>5</v>
      </c>
      <c r="E20" s="26">
        <f t="shared" si="5"/>
        <v>5</v>
      </c>
      <c r="F20" s="26">
        <f t="shared" si="5"/>
        <v>5</v>
      </c>
      <c r="G20" s="26">
        <f t="shared" si="5"/>
        <v>5</v>
      </c>
      <c r="H20" s="26">
        <f t="shared" si="5"/>
        <v>5</v>
      </c>
      <c r="I20" s="26">
        <f t="shared" si="5"/>
        <v>5</v>
      </c>
      <c r="J20" s="26">
        <f t="shared" si="5"/>
        <v>5</v>
      </c>
      <c r="K20" s="26">
        <f t="shared" si="5"/>
        <v>5</v>
      </c>
      <c r="L20" s="26">
        <f t="shared" si="5"/>
        <v>5</v>
      </c>
      <c r="M20" s="26">
        <f t="shared" si="5"/>
        <v>5</v>
      </c>
      <c r="N20" s="26">
        <f t="shared" si="5"/>
        <v>5</v>
      </c>
      <c r="O20" s="26">
        <f t="shared" si="5"/>
        <v>5</v>
      </c>
      <c r="P20" s="26">
        <f t="shared" si="5"/>
        <v>5</v>
      </c>
      <c r="Q20" s="26">
        <f t="shared" si="5"/>
        <v>5</v>
      </c>
      <c r="R20" s="26">
        <f t="shared" si="5"/>
        <v>5</v>
      </c>
      <c r="S20" s="26">
        <f t="shared" si="5"/>
        <v>5</v>
      </c>
      <c r="T20" s="26">
        <f t="shared" si="5"/>
        <v>5</v>
      </c>
      <c r="U20" s="26">
        <f t="shared" si="5"/>
        <v>5</v>
      </c>
      <c r="V20" s="26">
        <f t="shared" si="5"/>
        <v>5</v>
      </c>
      <c r="W20" s="26">
        <f t="shared" si="5"/>
        <v>5</v>
      </c>
      <c r="X20" s="26">
        <f t="shared" si="5"/>
        <v>5</v>
      </c>
      <c r="Y20" s="26">
        <f t="shared" si="5"/>
        <v>5</v>
      </c>
      <c r="Z20" s="26">
        <f t="shared" si="5"/>
        <v>5</v>
      </c>
      <c r="AA20" s="26">
        <f t="shared" si="5"/>
        <v>5</v>
      </c>
      <c r="AB20" s="26">
        <f t="shared" si="5"/>
        <v>5</v>
      </c>
      <c r="AC20" s="26">
        <f t="shared" si="5"/>
        <v>5</v>
      </c>
      <c r="AD20" s="26">
        <f t="shared" si="5"/>
        <v>5</v>
      </c>
      <c r="AE20" s="26">
        <f t="shared" si="5"/>
        <v>5</v>
      </c>
      <c r="AF20" s="26">
        <f t="shared" si="5"/>
        <v>5</v>
      </c>
      <c r="AG20" s="26">
        <f t="shared" si="5"/>
        <v>5</v>
      </c>
      <c r="AH20" s="3"/>
      <c r="AI20" s="3"/>
      <c r="AJ20" s="3"/>
      <c r="AK20" s="3"/>
      <c r="AL20" s="3"/>
    </row>
    <row r="21">
      <c r="AD21" s="28"/>
      <c r="AE21" s="28"/>
      <c r="AF21" s="28"/>
      <c r="AG21" s="28"/>
      <c r="AH21" s="28"/>
      <c r="AI21" s="3"/>
      <c r="AJ21" s="3"/>
      <c r="AK21" s="3"/>
      <c r="AL21" s="3"/>
    </row>
    <row r="22">
      <c r="AD22" s="28"/>
      <c r="AE22" s="28"/>
      <c r="AF22" s="28"/>
      <c r="AG22" s="28"/>
      <c r="AH22" s="28"/>
      <c r="AI22" s="3"/>
      <c r="AJ22" s="3"/>
      <c r="AK22" s="3"/>
      <c r="AL22" s="3"/>
    </row>
    <row r="23">
      <c r="AI23" s="3"/>
      <c r="AJ23" s="3"/>
      <c r="AK23" s="3"/>
      <c r="AL23" s="3"/>
    </row>
    <row r="24">
      <c r="AI24" s="3"/>
      <c r="AJ24" s="3"/>
      <c r="AK24" s="3"/>
      <c r="AL24" s="3"/>
    </row>
    <row r="25">
      <c r="AI25" s="3"/>
      <c r="AJ25" s="3"/>
      <c r="AK25" s="3"/>
      <c r="AL25" s="3"/>
    </row>
    <row r="26">
      <c r="AD26" s="28"/>
      <c r="AE26" s="28"/>
      <c r="AF26" s="28"/>
      <c r="AG26" s="28"/>
      <c r="AH26" s="28"/>
      <c r="AI26" s="3"/>
      <c r="AJ26" s="3"/>
      <c r="AK26" s="3"/>
      <c r="AL26" s="3"/>
    </row>
    <row r="27"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</row>
    <row r="28"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</row>
    <row r="29">
      <c r="AD29" s="28"/>
      <c r="AE29" s="28"/>
      <c r="AF29" s="28"/>
      <c r="AG29" s="28"/>
      <c r="AH29" s="28"/>
      <c r="AM29" s="28"/>
      <c r="AN29" s="28"/>
      <c r="AO29" s="28"/>
      <c r="AP29" s="28"/>
    </row>
    <row r="30">
      <c r="AM30" s="28"/>
      <c r="AN30" s="28"/>
      <c r="AO30" s="28"/>
      <c r="AP30" s="28"/>
    </row>
    <row r="31">
      <c r="AM31" s="28"/>
      <c r="AN31" s="28"/>
      <c r="AO31" s="28"/>
      <c r="AP31" s="28"/>
    </row>
    <row r="32"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</row>
    <row r="33"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</row>
    <row r="34"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</row>
    <row r="35"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</row>
    <row r="36"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</row>
    <row r="37"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</row>
    <row r="38"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</row>
    <row r="39"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</row>
    <row r="40"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</row>
    <row r="41"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</row>
    <row r="42"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</row>
    <row r="43"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</row>
    <row r="44"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</row>
    <row r="45"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</row>
    <row r="46"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</row>
    <row r="47"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</row>
    <row r="48"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</row>
    <row r="49"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</row>
    <row r="50"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</row>
    <row r="51"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</row>
    <row r="52"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</row>
    <row r="53"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</row>
    <row r="54"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</row>
    <row r="55"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</row>
    <row r="56"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</row>
    <row r="57"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</row>
    <row r="58"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</row>
    <row r="59"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</row>
    <row r="60"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</row>
    <row r="61"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</row>
    <row r="62"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</row>
    <row r="63"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</row>
    <row r="64"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</row>
    <row r="65">
      <c r="J65" s="15" t="s">
        <v>27</v>
      </c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</row>
    <row r="66">
      <c r="J66" s="15" t="s">
        <v>25</v>
      </c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</row>
    <row r="67">
      <c r="J67" s="15" t="s">
        <v>34</v>
      </c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</row>
    <row r="68">
      <c r="J68" s="15" t="s">
        <v>26</v>
      </c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</row>
    <row r="69"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</row>
    <row r="70"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</row>
    <row r="71"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</row>
    <row r="72"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</row>
    <row r="73"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</row>
    <row r="74"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</row>
    <row r="75"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</row>
    <row r="76"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</row>
    <row r="77"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</row>
    <row r="78"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</row>
    <row r="79"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</row>
    <row r="80"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</row>
    <row r="81"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</row>
    <row r="82"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</row>
    <row r="83"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</row>
    <row r="84"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</row>
    <row r="85"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</row>
    <row r="86"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</row>
    <row r="87"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</row>
    <row r="88"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</row>
    <row r="89"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</row>
    <row r="90"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</row>
    <row r="91"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</row>
    <row r="92"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</row>
    <row r="93"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</row>
    <row r="94"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</row>
    <row r="95"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</row>
    <row r="96"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</row>
    <row r="97"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</row>
    <row r="98"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</row>
    <row r="99"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</row>
    <row r="100"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</row>
    <row r="101"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</row>
    <row r="102"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</row>
    <row r="103"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</row>
    <row r="104"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</row>
    <row r="105"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</row>
    <row r="106"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</row>
    <row r="107"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</row>
    <row r="108"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</row>
    <row r="109"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</row>
    <row r="110"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</row>
    <row r="111"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</row>
    <row r="112"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</row>
    <row r="113"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</row>
    <row r="114"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</row>
    <row r="115"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</row>
    <row r="116"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</row>
    <row r="117"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</row>
    <row r="118"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</row>
    <row r="119"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</row>
    <row r="120"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</row>
    <row r="121"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</row>
    <row r="122"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</row>
    <row r="123"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</row>
    <row r="124"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</row>
    <row r="125"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</row>
    <row r="126"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</row>
    <row r="127"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</row>
    <row r="128"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</row>
    <row r="129"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</row>
    <row r="130"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</row>
    <row r="131"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</row>
    <row r="132"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</row>
    <row r="133"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</row>
    <row r="134"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</row>
    <row r="135"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</row>
    <row r="136"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</row>
    <row r="137"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</row>
    <row r="138"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</row>
    <row r="139"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</row>
    <row r="140"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</row>
    <row r="141"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</row>
    <row r="142"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</row>
    <row r="143"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</row>
    <row r="144"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</row>
    <row r="145"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</row>
    <row r="146"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</row>
    <row r="147"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</row>
    <row r="148"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</row>
    <row r="149"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</row>
    <row r="150"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</row>
    <row r="151"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</row>
    <row r="152"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</row>
    <row r="153"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</row>
    <row r="154"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</row>
    <row r="155"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</row>
    <row r="156"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</row>
    <row r="157"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</row>
    <row r="158"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</row>
    <row r="159"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</row>
    <row r="160"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</row>
    <row r="161"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</row>
    <row r="162"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</row>
    <row r="163"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</row>
    <row r="164"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</row>
    <row r="165"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</row>
    <row r="166"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</row>
    <row r="167"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</row>
    <row r="168"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</row>
    <row r="169"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</row>
    <row r="170"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</row>
    <row r="171"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</row>
    <row r="172"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</row>
    <row r="173"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</row>
    <row r="174"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</row>
    <row r="175"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</row>
    <row r="176"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</row>
    <row r="177"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</row>
    <row r="178"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</row>
    <row r="179"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</row>
    <row r="180"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</row>
    <row r="181"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</row>
    <row r="182"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</row>
    <row r="183"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</row>
    <row r="184"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</row>
    <row r="185"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</row>
    <row r="186"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</row>
    <row r="187"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</row>
    <row r="188"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</row>
    <row r="189"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</row>
    <row r="190"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</row>
    <row r="191"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</row>
    <row r="192"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</row>
    <row r="193"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</row>
    <row r="194"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</row>
    <row r="195"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</row>
    <row r="196"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</row>
    <row r="197"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</row>
    <row r="198"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</row>
    <row r="199"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</row>
    <row r="200"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</row>
    <row r="201"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</row>
    <row r="202"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</row>
    <row r="203"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</row>
    <row r="204"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</row>
    <row r="205"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</row>
    <row r="206"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</row>
    <row r="207"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</row>
    <row r="208"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</row>
    <row r="209"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</row>
    <row r="210"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</row>
    <row r="211"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</row>
    <row r="212"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</row>
    <row r="213"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</row>
    <row r="214"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</row>
    <row r="215"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</row>
    <row r="216"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</row>
    <row r="217"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</row>
    <row r="218"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</row>
    <row r="219"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</row>
    <row r="220"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</row>
    <row r="221"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</row>
    <row r="222"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</row>
    <row r="223"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</row>
    <row r="224"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</row>
    <row r="225"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</row>
    <row r="226"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</row>
    <row r="227"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</row>
    <row r="228"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</row>
    <row r="229"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</row>
    <row r="230"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</row>
    <row r="231"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</row>
    <row r="232"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</row>
    <row r="233"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</row>
    <row r="234"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</row>
    <row r="235"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</row>
    <row r="236"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</row>
    <row r="237"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</row>
    <row r="238"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</row>
    <row r="239"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</row>
    <row r="240"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</row>
    <row r="241"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</row>
    <row r="242"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</row>
    <row r="243"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</row>
    <row r="244"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</row>
    <row r="245"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</row>
    <row r="246"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</row>
    <row r="247"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</row>
    <row r="248"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</row>
    <row r="249"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</row>
    <row r="250"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</row>
    <row r="251"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</row>
    <row r="252"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</row>
    <row r="253"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</row>
    <row r="254"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</row>
    <row r="255"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</row>
    <row r="256"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</row>
    <row r="257"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</row>
    <row r="258"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</row>
    <row r="259"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</row>
    <row r="260"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</row>
    <row r="261"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</row>
    <row r="262"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</row>
    <row r="263"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</row>
    <row r="264"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</row>
    <row r="265"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</row>
    <row r="266"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</row>
    <row r="267"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</row>
    <row r="268"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</row>
    <row r="269"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</row>
    <row r="270"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</row>
    <row r="271"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</row>
    <row r="272"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</row>
    <row r="273"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</row>
    <row r="274"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</row>
    <row r="275"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</row>
    <row r="276"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</row>
    <row r="277"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</row>
    <row r="278"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</row>
    <row r="279"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</row>
    <row r="280"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</row>
    <row r="281"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</row>
    <row r="282"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</row>
    <row r="283"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</row>
    <row r="284"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</row>
    <row r="285"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</row>
    <row r="286"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</row>
    <row r="287"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</row>
    <row r="288"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</row>
    <row r="289"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</row>
    <row r="290"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</row>
    <row r="291"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</row>
    <row r="292"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</row>
    <row r="293"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</row>
    <row r="294"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</row>
    <row r="295"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</row>
    <row r="296"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</row>
    <row r="297"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</row>
    <row r="298"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</row>
    <row r="299"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</row>
    <row r="300"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</row>
    <row r="301"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</row>
    <row r="302"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</row>
    <row r="303"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</row>
    <row r="304"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</row>
    <row r="305"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</row>
    <row r="306"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</row>
    <row r="307"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</row>
    <row r="308"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</row>
    <row r="309"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</row>
    <row r="310"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</row>
    <row r="311"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</row>
    <row r="312"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</row>
    <row r="313"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</row>
    <row r="314"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</row>
    <row r="315"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</row>
    <row r="316"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</row>
    <row r="317"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</row>
    <row r="318"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</row>
    <row r="319"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</row>
    <row r="320"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</row>
    <row r="321"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</row>
    <row r="322"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</row>
    <row r="323"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</row>
    <row r="324"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</row>
    <row r="325"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</row>
    <row r="326"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</row>
    <row r="327"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</row>
    <row r="328"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</row>
    <row r="329"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</row>
    <row r="330"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</row>
    <row r="331"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</row>
    <row r="332"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</row>
    <row r="333"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</row>
    <row r="334"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</row>
    <row r="335"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</row>
    <row r="336"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</row>
    <row r="337"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</row>
    <row r="338"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</row>
    <row r="339"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</row>
    <row r="340"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</row>
    <row r="341"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</row>
    <row r="342"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</row>
    <row r="343"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</row>
    <row r="344"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</row>
    <row r="345"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</row>
    <row r="346"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</row>
    <row r="347"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</row>
    <row r="348"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</row>
    <row r="349"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</row>
    <row r="350"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</row>
    <row r="351"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</row>
    <row r="352"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</row>
    <row r="353"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</row>
    <row r="354"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</row>
    <row r="355"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</row>
    <row r="356"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</row>
    <row r="357"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</row>
    <row r="358"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</row>
    <row r="359"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</row>
    <row r="360"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</row>
    <row r="361"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</row>
    <row r="362"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</row>
    <row r="363"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</row>
    <row r="364"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</row>
    <row r="365"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</row>
    <row r="366"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</row>
    <row r="367"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</row>
    <row r="368"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</row>
    <row r="369"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</row>
    <row r="370"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</row>
    <row r="371"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</row>
    <row r="372"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</row>
    <row r="373"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</row>
    <row r="374"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</row>
    <row r="375"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</row>
    <row r="376"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</row>
    <row r="377"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</row>
    <row r="378"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</row>
    <row r="379"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</row>
    <row r="380"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</row>
    <row r="381"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</row>
    <row r="382"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</row>
    <row r="383"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</row>
    <row r="384"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</row>
    <row r="385"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</row>
    <row r="386"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</row>
    <row r="387"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</row>
    <row r="388"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</row>
    <row r="389"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</row>
    <row r="390"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</row>
    <row r="391"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</row>
    <row r="392"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</row>
    <row r="393"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</row>
    <row r="394"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</row>
    <row r="395"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</row>
    <row r="396"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</row>
    <row r="397"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</row>
    <row r="398"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</row>
    <row r="399"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</row>
    <row r="400"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</row>
    <row r="401"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</row>
    <row r="402"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</row>
    <row r="403"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</row>
    <row r="404"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</row>
    <row r="405"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</row>
    <row r="406"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</row>
    <row r="407"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</row>
    <row r="408"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</row>
    <row r="409"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</row>
    <row r="410"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</row>
    <row r="411"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</row>
    <row r="412"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</row>
    <row r="413"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</row>
    <row r="414"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</row>
    <row r="415"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</row>
    <row r="416"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</row>
    <row r="417"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</row>
    <row r="418"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</row>
    <row r="419"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</row>
    <row r="420"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</row>
    <row r="421"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</row>
    <row r="422"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</row>
    <row r="423"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</row>
    <row r="424"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</row>
    <row r="425"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</row>
    <row r="426"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</row>
    <row r="427"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</row>
    <row r="428"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</row>
    <row r="429"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</row>
    <row r="430"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</row>
    <row r="431"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</row>
    <row r="432"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</row>
    <row r="433"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</row>
    <row r="434"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</row>
    <row r="435"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</row>
    <row r="436"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</row>
    <row r="437"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</row>
    <row r="438"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</row>
    <row r="439"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</row>
    <row r="440"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</row>
    <row r="441"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</row>
    <row r="442"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</row>
    <row r="443"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</row>
    <row r="444"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</row>
    <row r="445"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</row>
    <row r="446"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</row>
    <row r="447"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</row>
    <row r="448"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</row>
    <row r="449"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</row>
    <row r="450"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</row>
    <row r="451"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</row>
    <row r="452"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</row>
    <row r="453"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</row>
    <row r="454"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</row>
    <row r="455"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</row>
    <row r="456"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</row>
    <row r="457"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</row>
    <row r="458"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</row>
    <row r="459"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</row>
    <row r="460"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</row>
    <row r="461"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</row>
    <row r="462"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</row>
    <row r="463"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</row>
    <row r="464"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</row>
    <row r="465"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</row>
    <row r="466"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</row>
    <row r="467"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</row>
    <row r="468"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</row>
    <row r="469"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</row>
    <row r="470"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</row>
    <row r="471"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</row>
    <row r="472"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</row>
    <row r="473"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</row>
    <row r="474"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</row>
    <row r="475"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</row>
    <row r="476"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</row>
    <row r="477"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</row>
    <row r="478"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</row>
    <row r="479"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</row>
    <row r="480"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</row>
    <row r="481"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</row>
    <row r="482"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</row>
    <row r="483"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</row>
    <row r="484"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</row>
    <row r="485"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</row>
    <row r="486"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</row>
    <row r="487"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</row>
    <row r="488"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</row>
    <row r="489"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</row>
    <row r="490"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</row>
    <row r="491"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</row>
    <row r="492"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</row>
    <row r="493"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</row>
    <row r="494"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</row>
    <row r="495"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</row>
    <row r="496"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</row>
    <row r="497"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</row>
    <row r="498"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</row>
    <row r="499"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</row>
    <row r="500"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</row>
    <row r="501"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</row>
    <row r="502"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</row>
    <row r="503"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</row>
    <row r="504"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</row>
    <row r="505"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</row>
    <row r="506"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</row>
    <row r="507"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</row>
    <row r="508"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</row>
    <row r="509"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</row>
    <row r="510"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</row>
    <row r="511"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</row>
    <row r="512"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</row>
    <row r="513"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</row>
    <row r="514"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</row>
    <row r="515"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</row>
    <row r="516"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</row>
    <row r="517"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</row>
    <row r="518"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</row>
    <row r="519"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</row>
    <row r="520"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</row>
    <row r="521"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</row>
    <row r="522"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</row>
    <row r="523"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</row>
    <row r="524"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</row>
    <row r="525"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</row>
    <row r="526"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</row>
    <row r="527"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</row>
    <row r="528"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</row>
    <row r="529"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</row>
    <row r="530"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</row>
    <row r="531"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</row>
    <row r="532"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</row>
    <row r="533"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</row>
    <row r="534"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</row>
    <row r="535"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</row>
    <row r="536"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</row>
    <row r="537"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</row>
    <row r="538"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</row>
    <row r="539"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</row>
    <row r="540"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</row>
    <row r="541"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</row>
    <row r="542"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</row>
    <row r="543"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</row>
    <row r="544"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</row>
    <row r="545"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</row>
    <row r="546"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</row>
    <row r="547"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</row>
    <row r="548"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</row>
    <row r="549"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</row>
    <row r="550"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</row>
    <row r="551"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</row>
    <row r="552"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</row>
    <row r="553"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</row>
    <row r="554"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</row>
    <row r="555"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</row>
    <row r="556"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</row>
    <row r="557"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</row>
    <row r="558"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</row>
    <row r="559"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</row>
    <row r="560"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</row>
    <row r="561"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</row>
    <row r="562"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</row>
    <row r="563"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</row>
    <row r="564"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</row>
    <row r="565"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</row>
    <row r="566"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</row>
    <row r="567"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</row>
    <row r="568"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</row>
    <row r="569"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</row>
    <row r="570"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</row>
    <row r="571"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</row>
    <row r="572"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</row>
    <row r="573"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</row>
    <row r="574"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</row>
    <row r="575"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</row>
    <row r="576"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</row>
    <row r="577"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</row>
    <row r="578"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</row>
    <row r="579"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</row>
    <row r="580"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</row>
    <row r="581"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</row>
    <row r="582"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</row>
    <row r="583"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</row>
    <row r="584"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</row>
    <row r="585"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</row>
    <row r="586"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</row>
    <row r="587"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</row>
    <row r="588"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</row>
    <row r="589"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</row>
    <row r="590"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</row>
    <row r="591"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</row>
    <row r="592"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</row>
    <row r="593"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</row>
    <row r="594"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</row>
    <row r="595"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</row>
    <row r="596"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</row>
    <row r="597"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</row>
    <row r="598"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</row>
    <row r="599"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</row>
    <row r="600"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</row>
    <row r="601"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</row>
    <row r="602"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</row>
    <row r="603"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</row>
    <row r="604"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</row>
    <row r="605"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</row>
    <row r="606"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</row>
    <row r="607"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</row>
    <row r="608"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</row>
    <row r="609"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</row>
    <row r="610"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</row>
    <row r="611"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</row>
    <row r="612"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</row>
    <row r="613"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</row>
    <row r="614"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</row>
    <row r="615"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</row>
    <row r="616"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</row>
    <row r="617"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</row>
    <row r="618"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</row>
    <row r="619"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</row>
    <row r="620"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</row>
    <row r="621"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</row>
    <row r="622"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</row>
    <row r="623"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</row>
    <row r="624"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</row>
    <row r="625"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</row>
    <row r="626"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</row>
    <row r="627"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</row>
    <row r="628"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</row>
    <row r="629"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</row>
    <row r="630"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</row>
    <row r="631"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</row>
    <row r="632"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</row>
    <row r="633"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</row>
    <row r="634"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</row>
    <row r="635"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</row>
    <row r="636"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</row>
    <row r="637"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</row>
    <row r="638"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</row>
    <row r="639"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</row>
    <row r="640"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</row>
    <row r="641"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</row>
    <row r="642"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</row>
    <row r="643"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</row>
    <row r="644"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</row>
    <row r="645"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</row>
    <row r="646"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</row>
    <row r="647"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</row>
    <row r="648"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</row>
    <row r="649"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</row>
    <row r="650"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</row>
    <row r="651"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</row>
    <row r="652"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</row>
    <row r="653"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</row>
    <row r="654"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</row>
    <row r="655"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</row>
    <row r="656"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</row>
    <row r="657"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</row>
    <row r="658"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</row>
    <row r="659"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</row>
    <row r="660"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</row>
    <row r="661"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</row>
    <row r="662"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</row>
    <row r="663"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</row>
    <row r="664"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</row>
    <row r="665"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</row>
    <row r="666"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</row>
    <row r="667"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</row>
    <row r="668"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</row>
    <row r="669"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</row>
    <row r="670"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</row>
    <row r="671"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</row>
    <row r="672"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</row>
    <row r="673"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</row>
    <row r="674"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</row>
    <row r="675"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</row>
    <row r="676"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</row>
    <row r="677"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</row>
    <row r="678"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</row>
    <row r="679"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</row>
    <row r="680"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</row>
    <row r="681"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</row>
    <row r="682"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</row>
    <row r="683"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</row>
    <row r="684"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</row>
    <row r="685"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</row>
    <row r="686"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</row>
    <row r="687"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</row>
    <row r="688"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</row>
    <row r="689"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</row>
    <row r="690"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</row>
    <row r="691"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</row>
    <row r="692"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</row>
    <row r="693"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</row>
    <row r="694"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</row>
    <row r="695"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</row>
    <row r="696"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</row>
    <row r="697"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</row>
    <row r="698"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</row>
    <row r="699"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</row>
    <row r="700"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</row>
    <row r="701"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</row>
    <row r="702"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</row>
    <row r="703"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</row>
    <row r="704"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</row>
    <row r="705"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</row>
    <row r="706"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</row>
    <row r="707"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</row>
    <row r="708"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</row>
    <row r="709"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</row>
    <row r="710"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</row>
    <row r="711"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</row>
    <row r="712"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</row>
    <row r="713"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</row>
    <row r="714"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</row>
    <row r="715"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</row>
    <row r="716"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</row>
    <row r="717"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</row>
    <row r="718"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</row>
    <row r="719"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</row>
    <row r="720"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</row>
    <row r="721"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</row>
    <row r="722"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</row>
    <row r="723"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</row>
    <row r="724"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</row>
    <row r="725"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</row>
    <row r="726"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</row>
    <row r="727"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</row>
    <row r="728"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</row>
    <row r="729"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</row>
    <row r="730"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</row>
    <row r="731"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</row>
    <row r="732"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</row>
    <row r="733"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</row>
    <row r="734"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</row>
    <row r="735"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</row>
    <row r="736"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</row>
    <row r="737"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</row>
    <row r="738"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</row>
    <row r="739"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</row>
    <row r="740"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</row>
    <row r="741"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</row>
    <row r="742"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</row>
    <row r="743"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</row>
    <row r="744"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</row>
    <row r="745"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</row>
    <row r="746"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</row>
    <row r="747"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</row>
    <row r="748"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</row>
    <row r="749"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</row>
    <row r="750"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</row>
    <row r="751"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</row>
    <row r="752"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</row>
    <row r="753"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</row>
    <row r="754"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</row>
    <row r="755"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</row>
    <row r="756"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</row>
    <row r="757"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</row>
    <row r="758"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</row>
    <row r="759"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</row>
    <row r="760"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</row>
    <row r="761"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</row>
    <row r="762"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</row>
    <row r="763"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</row>
    <row r="764"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</row>
    <row r="765"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</row>
    <row r="766"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</row>
    <row r="767"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</row>
    <row r="768"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</row>
    <row r="769"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</row>
    <row r="770"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</row>
    <row r="771"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</row>
    <row r="772"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</row>
    <row r="773"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</row>
    <row r="774"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</row>
    <row r="775"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</row>
    <row r="776"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</row>
    <row r="777"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</row>
    <row r="778"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</row>
    <row r="779"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</row>
    <row r="780"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</row>
    <row r="781"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</row>
    <row r="782"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</row>
    <row r="783"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</row>
    <row r="784"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</row>
    <row r="785"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</row>
    <row r="786"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</row>
    <row r="787"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</row>
    <row r="788"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</row>
    <row r="789"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</row>
    <row r="790"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</row>
    <row r="791"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</row>
    <row r="792"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</row>
    <row r="793"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</row>
    <row r="794"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</row>
    <row r="795"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</row>
    <row r="796"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</row>
    <row r="797"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</row>
    <row r="798"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</row>
    <row r="799"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</row>
    <row r="800"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</row>
    <row r="801"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</row>
    <row r="802"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</row>
    <row r="803"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</row>
    <row r="804"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</row>
    <row r="805"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</row>
    <row r="806"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</row>
    <row r="807"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</row>
    <row r="808"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</row>
    <row r="809"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</row>
    <row r="810"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</row>
    <row r="811"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</row>
    <row r="812"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</row>
    <row r="813"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</row>
    <row r="814"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</row>
    <row r="815"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</row>
    <row r="816"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</row>
    <row r="817"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</row>
    <row r="818"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</row>
    <row r="819"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</row>
    <row r="820"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</row>
    <row r="821"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</row>
    <row r="822"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</row>
    <row r="823"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</row>
    <row r="824"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</row>
    <row r="825"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</row>
    <row r="826"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</row>
    <row r="827"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</row>
    <row r="828"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</row>
    <row r="829"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</row>
    <row r="830"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</row>
    <row r="831"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</row>
    <row r="832"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</row>
    <row r="833"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</row>
    <row r="834"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</row>
    <row r="835"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</row>
    <row r="836"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</row>
    <row r="837"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</row>
    <row r="838"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</row>
    <row r="839"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</row>
    <row r="840"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</row>
    <row r="841"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</row>
    <row r="842"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</row>
    <row r="843"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</row>
    <row r="844"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</row>
    <row r="845"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</row>
    <row r="846"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</row>
    <row r="847"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</row>
    <row r="848"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</row>
    <row r="849"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</row>
    <row r="850"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</row>
    <row r="851"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</row>
    <row r="852"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</row>
    <row r="853"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</row>
    <row r="854"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</row>
    <row r="855"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</row>
    <row r="856"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</row>
    <row r="857"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</row>
    <row r="858"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</row>
    <row r="859"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</row>
    <row r="860"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</row>
    <row r="861"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</row>
    <row r="862"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</row>
    <row r="863"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</row>
    <row r="864"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</row>
    <row r="865"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</row>
    <row r="866"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</row>
    <row r="867"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</row>
    <row r="868"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</row>
    <row r="869"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</row>
    <row r="870"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</row>
    <row r="871"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</row>
    <row r="872"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</row>
    <row r="873"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</row>
    <row r="874"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</row>
    <row r="875"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</row>
    <row r="876"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</row>
    <row r="877"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</row>
    <row r="878"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</row>
    <row r="879"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</row>
    <row r="880"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</row>
    <row r="881"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</row>
    <row r="882"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</row>
    <row r="883"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</row>
    <row r="884"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</row>
    <row r="885"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</row>
    <row r="886"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</row>
    <row r="887"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</row>
    <row r="888"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</row>
    <row r="889"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</row>
    <row r="890"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</row>
    <row r="891"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</row>
    <row r="892"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</row>
    <row r="893"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</row>
    <row r="894"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</row>
    <row r="895"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</row>
    <row r="896"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</row>
    <row r="897"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</row>
    <row r="898"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</row>
    <row r="899"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</row>
    <row r="900"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</row>
    <row r="901"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</row>
    <row r="902"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</row>
    <row r="903"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</row>
    <row r="904"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</row>
    <row r="905"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</row>
    <row r="906"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</row>
    <row r="907"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</row>
    <row r="908"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</row>
    <row r="909"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</row>
    <row r="910"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</row>
    <row r="911"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</row>
    <row r="912"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</row>
    <row r="913"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</row>
    <row r="914"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</row>
    <row r="915"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</row>
    <row r="916"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</row>
    <row r="917"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</row>
    <row r="918"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</row>
    <row r="919"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</row>
    <row r="920"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</row>
    <row r="921"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</row>
    <row r="922"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</row>
    <row r="923"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</row>
    <row r="924"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</row>
    <row r="925"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</row>
    <row r="926"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</row>
    <row r="927"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</row>
    <row r="928"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</row>
    <row r="929"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</row>
    <row r="930"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</row>
    <row r="931"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</row>
    <row r="932"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</row>
    <row r="933"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</row>
    <row r="934"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</row>
    <row r="935"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</row>
    <row r="936"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</row>
    <row r="937"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</row>
    <row r="938"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</row>
    <row r="939"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</row>
    <row r="940"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</row>
    <row r="941"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</row>
    <row r="942"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</row>
    <row r="943"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</row>
    <row r="944"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</row>
    <row r="945"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</row>
    <row r="946"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</row>
    <row r="947"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</row>
    <row r="948"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</row>
    <row r="949"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</row>
    <row r="950"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</row>
    <row r="951"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</row>
    <row r="952"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</row>
    <row r="953"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</row>
    <row r="954"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</row>
    <row r="955"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</row>
    <row r="956"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</row>
    <row r="957"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</row>
    <row r="958"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</row>
    <row r="959"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</row>
    <row r="960"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</row>
    <row r="961"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</row>
    <row r="962"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</row>
    <row r="963"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</row>
    <row r="964"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</row>
    <row r="965"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</row>
    <row r="966"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</row>
    <row r="967"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</row>
    <row r="968"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</row>
    <row r="969"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</row>
    <row r="970"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</row>
    <row r="971"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</row>
    <row r="972"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</row>
    <row r="973"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</row>
    <row r="974"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</row>
    <row r="975"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</row>
    <row r="976"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</row>
    <row r="977"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</row>
    <row r="978"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</row>
    <row r="979"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</row>
    <row r="980"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</row>
    <row r="981"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</row>
    <row r="982"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</row>
    <row r="983"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</row>
    <row r="984"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</row>
    <row r="985"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</row>
    <row r="986"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</row>
    <row r="987"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</row>
    <row r="988"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</row>
    <row r="989"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</row>
    <row r="990"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</row>
    <row r="991"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</row>
    <row r="992"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</row>
    <row r="993"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</row>
    <row r="994"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</row>
    <row r="995"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</row>
    <row r="996"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</row>
    <row r="997"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</row>
    <row r="998"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</row>
    <row r="999"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</row>
    <row r="1000"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</row>
    <row r="1001">
      <c r="AD1001" s="28"/>
      <c r="AE1001" s="28"/>
      <c r="AF1001" s="28"/>
      <c r="AG1001" s="28"/>
      <c r="AH1001" s="28"/>
      <c r="AI1001" s="28"/>
      <c r="AJ1001" s="28"/>
      <c r="AK1001" s="28"/>
      <c r="AL1001" s="28"/>
      <c r="AM1001" s="28"/>
      <c r="AN1001" s="28"/>
      <c r="AO1001" s="28"/>
      <c r="AP1001" s="28"/>
    </row>
    <row r="1002">
      <c r="AD1002" s="28"/>
      <c r="AE1002" s="28"/>
      <c r="AF1002" s="28"/>
      <c r="AG1002" s="28"/>
      <c r="AH1002" s="28"/>
      <c r="AI1002" s="28"/>
      <c r="AJ1002" s="28"/>
      <c r="AK1002" s="28"/>
      <c r="AL1002" s="28"/>
      <c r="AM1002" s="28"/>
      <c r="AN1002" s="28"/>
      <c r="AO1002" s="28"/>
      <c r="AP1002" s="28"/>
    </row>
  </sheetData>
  <mergeCells count="23">
    <mergeCell ref="AE5:AK5"/>
    <mergeCell ref="AM19:AP26"/>
    <mergeCell ref="AM18:AP18"/>
    <mergeCell ref="AM5:AP6"/>
    <mergeCell ref="I3:AG3"/>
    <mergeCell ref="A4:AG4"/>
    <mergeCell ref="W2:AC2"/>
    <mergeCell ref="AD2:AG2"/>
    <mergeCell ref="A1:H3"/>
    <mergeCell ref="I1:N1"/>
    <mergeCell ref="O1:V1"/>
    <mergeCell ref="W1:AC1"/>
    <mergeCell ref="AD1:AG1"/>
    <mergeCell ref="J5:P5"/>
    <mergeCell ref="Q5:W5"/>
    <mergeCell ref="X5:AD5"/>
    <mergeCell ref="I2:N2"/>
    <mergeCell ref="O2:V2"/>
    <mergeCell ref="A18:B18"/>
    <mergeCell ref="A19:B19"/>
    <mergeCell ref="A20:B20"/>
    <mergeCell ref="A5:B7"/>
    <mergeCell ref="C5:I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26.25"/>
    <col customWidth="1" min="3" max="22" width="4.13"/>
    <col customWidth="1" min="23" max="23" width="4.5"/>
    <col customWidth="1" min="24" max="35" width="4.13"/>
    <col customWidth="1" min="36" max="36" width="5.38"/>
    <col customWidth="1" min="37" max="37" width="3.75"/>
    <col customWidth="1" min="38" max="38" width="5.25"/>
    <col customWidth="1" min="39" max="39" width="4.5"/>
    <col customWidth="1" min="40" max="40" width="4.75"/>
    <col customWidth="1" min="41" max="41" width="6.88"/>
    <col customWidth="1" min="42" max="42" width="13.25"/>
  </cols>
  <sheetData>
    <row r="1" ht="36.75" customHeight="1">
      <c r="A1" s="1" t="s">
        <v>0</v>
      </c>
      <c r="I1" s="2" t="s">
        <v>1</v>
      </c>
      <c r="O1" s="2" t="s">
        <v>2</v>
      </c>
      <c r="W1" s="2" t="s">
        <v>3</v>
      </c>
      <c r="AD1" s="2" t="s">
        <v>4</v>
      </c>
      <c r="AH1" s="3"/>
      <c r="AI1" s="3"/>
      <c r="AJ1" s="3"/>
      <c r="AK1" s="3"/>
      <c r="AL1" s="3"/>
    </row>
    <row r="2">
      <c r="I2" s="2">
        <v>8.0</v>
      </c>
      <c r="O2" s="4">
        <f>COUNTIF(C8:AG12, TRUE)</f>
        <v>1</v>
      </c>
      <c r="W2" s="5" t="str">
        <f>IFERROR(__xludf.DUMMYFUNCTION("SPARKLINE(AD2, {""charttype"",""bar""; ""max"",1;""color1"",""green""; ""empty"",""zero""})"),"")</f>
        <v/>
      </c>
      <c r="X2" s="6"/>
      <c r="Y2" s="6"/>
      <c r="Z2" s="6"/>
      <c r="AA2" s="6"/>
      <c r="AB2" s="6"/>
      <c r="AC2" s="7"/>
      <c r="AD2" s="8">
        <f>SUM(O2) / (COUNTA(C8:AG8) * ROWS(C8:AG15))</f>
        <v>0.004032258065</v>
      </c>
      <c r="AH2" s="3"/>
      <c r="AI2" s="3"/>
      <c r="AJ2" s="3"/>
      <c r="AK2" s="3"/>
      <c r="AL2" s="3"/>
    </row>
    <row r="3">
      <c r="I3" s="9"/>
      <c r="AH3" s="3"/>
      <c r="AI3" s="3"/>
      <c r="AJ3" s="3"/>
      <c r="AK3" s="3"/>
      <c r="AL3" s="3"/>
    </row>
    <row r="4">
      <c r="A4" s="10"/>
      <c r="AH4" s="3"/>
      <c r="AI4" s="3"/>
      <c r="AJ4" s="3"/>
      <c r="AK4" s="3"/>
      <c r="AL4" s="3"/>
      <c r="AM4" s="3"/>
      <c r="AN4" s="3"/>
      <c r="AO4" s="3"/>
      <c r="AP4" s="3"/>
    </row>
    <row r="5">
      <c r="A5" s="11" t="s">
        <v>5</v>
      </c>
      <c r="C5" s="12" t="s">
        <v>6</v>
      </c>
      <c r="J5" s="11" t="s">
        <v>7</v>
      </c>
      <c r="Q5" s="12" t="s">
        <v>8</v>
      </c>
      <c r="X5" s="11" t="s">
        <v>9</v>
      </c>
      <c r="AE5" s="12" t="s">
        <v>10</v>
      </c>
      <c r="AM5" s="13" t="s">
        <v>11</v>
      </c>
    </row>
    <row r="6"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2" t="s">
        <v>17</v>
      </c>
      <c r="I6" s="12" t="s">
        <v>18</v>
      </c>
      <c r="J6" s="11" t="s">
        <v>12</v>
      </c>
      <c r="K6" s="11" t="s">
        <v>13</v>
      </c>
      <c r="L6" s="11" t="s">
        <v>14</v>
      </c>
      <c r="M6" s="11" t="s">
        <v>15</v>
      </c>
      <c r="N6" s="11" t="s">
        <v>16</v>
      </c>
      <c r="O6" s="11" t="s">
        <v>17</v>
      </c>
      <c r="P6" s="11" t="s">
        <v>18</v>
      </c>
      <c r="Q6" s="12" t="s">
        <v>12</v>
      </c>
      <c r="R6" s="12" t="s">
        <v>13</v>
      </c>
      <c r="S6" s="12" t="s">
        <v>14</v>
      </c>
      <c r="T6" s="12" t="s">
        <v>15</v>
      </c>
      <c r="U6" s="12" t="s">
        <v>16</v>
      </c>
      <c r="V6" s="12" t="s">
        <v>17</v>
      </c>
      <c r="W6" s="12" t="s">
        <v>18</v>
      </c>
      <c r="X6" s="11" t="s">
        <v>12</v>
      </c>
      <c r="Y6" s="11" t="s">
        <v>13</v>
      </c>
      <c r="Z6" s="11" t="s">
        <v>14</v>
      </c>
      <c r="AA6" s="11" t="s">
        <v>15</v>
      </c>
      <c r="AB6" s="11" t="s">
        <v>16</v>
      </c>
      <c r="AC6" s="11" t="s">
        <v>17</v>
      </c>
      <c r="AD6" s="11" t="s">
        <v>18</v>
      </c>
      <c r="AE6" s="12" t="s">
        <v>12</v>
      </c>
      <c r="AF6" s="12" t="s">
        <v>13</v>
      </c>
      <c r="AG6" s="12" t="s">
        <v>14</v>
      </c>
      <c r="AH6" s="12" t="s">
        <v>15</v>
      </c>
      <c r="AI6" s="12" t="s">
        <v>16</v>
      </c>
      <c r="AJ6" s="12" t="s">
        <v>17</v>
      </c>
      <c r="AK6" s="12" t="s">
        <v>18</v>
      </c>
      <c r="AL6" s="3"/>
    </row>
    <row r="7">
      <c r="C7" s="12">
        <v>31.0</v>
      </c>
      <c r="D7" s="12">
        <v>1.0</v>
      </c>
      <c r="E7" s="12">
        <v>2.0</v>
      </c>
      <c r="F7" s="12">
        <v>3.0</v>
      </c>
      <c r="G7" s="12">
        <v>4.0</v>
      </c>
      <c r="H7" s="12">
        <v>5.0</v>
      </c>
      <c r="I7" s="12">
        <v>6.0</v>
      </c>
      <c r="J7" s="11">
        <v>7.0</v>
      </c>
      <c r="K7" s="11">
        <v>8.0</v>
      </c>
      <c r="L7" s="11">
        <v>9.0</v>
      </c>
      <c r="M7" s="11">
        <v>10.0</v>
      </c>
      <c r="N7" s="11">
        <v>11.0</v>
      </c>
      <c r="O7" s="11">
        <v>12.0</v>
      </c>
      <c r="P7" s="11">
        <v>13.0</v>
      </c>
      <c r="Q7" s="12">
        <v>14.0</v>
      </c>
      <c r="R7" s="12">
        <v>15.0</v>
      </c>
      <c r="S7" s="12">
        <v>16.0</v>
      </c>
      <c r="T7" s="12">
        <v>17.0</v>
      </c>
      <c r="U7" s="12">
        <v>18.0</v>
      </c>
      <c r="V7" s="12">
        <v>19.0</v>
      </c>
      <c r="W7" s="12">
        <v>20.0</v>
      </c>
      <c r="X7" s="11">
        <v>21.0</v>
      </c>
      <c r="Y7" s="11">
        <v>22.0</v>
      </c>
      <c r="Z7" s="11">
        <v>23.0</v>
      </c>
      <c r="AA7" s="11">
        <v>24.0</v>
      </c>
      <c r="AB7" s="11">
        <v>25.0</v>
      </c>
      <c r="AC7" s="11">
        <v>26.0</v>
      </c>
      <c r="AD7" s="11">
        <v>27.0</v>
      </c>
      <c r="AE7" s="12">
        <v>28.0</v>
      </c>
      <c r="AF7" s="12">
        <v>29.0</v>
      </c>
      <c r="AG7" s="12">
        <v>30.0</v>
      </c>
      <c r="AH7" s="12">
        <v>1.0</v>
      </c>
      <c r="AI7" s="12">
        <v>2.0</v>
      </c>
      <c r="AJ7" s="12">
        <v>3.0</v>
      </c>
      <c r="AK7" s="12">
        <v>4.0</v>
      </c>
      <c r="AL7" s="3"/>
      <c r="AM7" s="14" t="s">
        <v>19</v>
      </c>
      <c r="AN7" s="14" t="s">
        <v>20</v>
      </c>
      <c r="AO7" s="14" t="s">
        <v>21</v>
      </c>
      <c r="AP7" s="14" t="s">
        <v>3</v>
      </c>
    </row>
    <row r="8">
      <c r="A8" s="15">
        <v>1.0</v>
      </c>
      <c r="B8" s="15" t="s">
        <v>22</v>
      </c>
      <c r="C8" s="16" t="b">
        <v>1</v>
      </c>
      <c r="D8" s="16" t="b">
        <v>0</v>
      </c>
      <c r="E8" s="16" t="b">
        <v>0</v>
      </c>
      <c r="F8" s="16" t="b">
        <v>0</v>
      </c>
      <c r="G8" s="16" t="b">
        <v>0</v>
      </c>
      <c r="H8" s="16" t="b">
        <v>0</v>
      </c>
      <c r="I8" s="16" t="b">
        <v>0</v>
      </c>
      <c r="J8" s="17" t="b">
        <v>0</v>
      </c>
      <c r="K8" s="17" t="b">
        <v>0</v>
      </c>
      <c r="L8" s="17" t="b">
        <v>0</v>
      </c>
      <c r="M8" s="17" t="b">
        <v>0</v>
      </c>
      <c r="N8" s="17" t="b">
        <v>0</v>
      </c>
      <c r="O8" s="17" t="b">
        <v>0</v>
      </c>
      <c r="P8" s="17" t="b">
        <v>0</v>
      </c>
      <c r="Q8" s="16" t="b">
        <v>0</v>
      </c>
      <c r="R8" s="16" t="b">
        <v>0</v>
      </c>
      <c r="S8" s="16" t="b">
        <v>0</v>
      </c>
      <c r="T8" s="16" t="b">
        <v>0</v>
      </c>
      <c r="U8" s="16" t="b">
        <v>0</v>
      </c>
      <c r="V8" s="16" t="b">
        <v>0</v>
      </c>
      <c r="W8" s="16" t="b">
        <v>0</v>
      </c>
      <c r="X8" s="17" t="b">
        <v>0</v>
      </c>
      <c r="Y8" s="17" t="b">
        <v>0</v>
      </c>
      <c r="Z8" s="17" t="b">
        <v>0</v>
      </c>
      <c r="AA8" s="17" t="b">
        <v>0</v>
      </c>
      <c r="AB8" s="17" t="b">
        <v>0</v>
      </c>
      <c r="AC8" s="17" t="b">
        <v>0</v>
      </c>
      <c r="AD8" s="17" t="b">
        <v>0</v>
      </c>
      <c r="AE8" s="16" t="b">
        <v>0</v>
      </c>
      <c r="AF8" s="16" t="b">
        <v>0</v>
      </c>
      <c r="AG8" s="16" t="b">
        <v>0</v>
      </c>
      <c r="AH8" s="16" t="b">
        <v>0</v>
      </c>
      <c r="AI8" s="16" t="b">
        <v>0</v>
      </c>
      <c r="AJ8" s="16" t="b">
        <v>0</v>
      </c>
      <c r="AK8" s="16" t="b">
        <v>0</v>
      </c>
      <c r="AL8" s="3"/>
      <c r="AM8" s="18">
        <v>31.0</v>
      </c>
      <c r="AN8" s="18">
        <f t="shared" ref="AN8:AN15" si="1">COUNTIF(C8:AK8, TRUE)</f>
        <v>1</v>
      </c>
      <c r="AO8" s="19">
        <f t="shared" ref="AO8:AO15" si="2">SUM(AN8 / (COUNTA(C8:AK8) * ROWS(C8:AK8)))</f>
        <v>0.02857142857</v>
      </c>
      <c r="AP8" s="20" t="str">
        <f>IFERROR(__xludf.DUMMYFUNCTION("SPARKLINE(AO8, {""charttype"",""bar""; ""max"",1;""color1"",""green""; ""empty"",""zero""})"),"")</f>
        <v/>
      </c>
    </row>
    <row r="9">
      <c r="A9" s="15">
        <v>2.0</v>
      </c>
      <c r="B9" s="15" t="s">
        <v>23</v>
      </c>
      <c r="C9" s="16" t="b">
        <v>0</v>
      </c>
      <c r="D9" s="21" t="b">
        <v>0</v>
      </c>
      <c r="E9" s="16" t="b">
        <v>0</v>
      </c>
      <c r="F9" s="21" t="b">
        <v>0</v>
      </c>
      <c r="G9" s="16" t="b">
        <v>0</v>
      </c>
      <c r="H9" s="21" t="b">
        <v>0</v>
      </c>
      <c r="I9" s="21" t="b">
        <v>0</v>
      </c>
      <c r="J9" s="22" t="b">
        <v>0</v>
      </c>
      <c r="K9" s="22" t="b">
        <v>0</v>
      </c>
      <c r="L9" s="22" t="b">
        <v>0</v>
      </c>
      <c r="M9" s="22" t="b">
        <v>0</v>
      </c>
      <c r="N9" s="22" t="b">
        <v>0</v>
      </c>
      <c r="O9" s="17" t="b">
        <v>0</v>
      </c>
      <c r="P9" s="17" t="b">
        <v>0</v>
      </c>
      <c r="Q9" s="21" t="b">
        <v>0</v>
      </c>
      <c r="R9" s="16" t="b">
        <v>0</v>
      </c>
      <c r="S9" s="16" t="b">
        <v>0</v>
      </c>
      <c r="T9" s="21" t="b">
        <v>0</v>
      </c>
      <c r="U9" s="16" t="b">
        <v>0</v>
      </c>
      <c r="V9" s="16" t="b">
        <v>0</v>
      </c>
      <c r="W9" s="21" t="b">
        <v>0</v>
      </c>
      <c r="X9" s="17" t="b">
        <v>0</v>
      </c>
      <c r="Y9" s="22" t="b">
        <v>0</v>
      </c>
      <c r="Z9" s="22" t="b">
        <v>0</v>
      </c>
      <c r="AA9" s="22" t="b">
        <v>0</v>
      </c>
      <c r="AB9" s="22" t="b">
        <v>0</v>
      </c>
      <c r="AC9" s="22" t="b">
        <v>0</v>
      </c>
      <c r="AD9" s="22" t="b">
        <v>0</v>
      </c>
      <c r="AE9" s="21" t="b">
        <v>0</v>
      </c>
      <c r="AF9" s="21" t="b">
        <v>0</v>
      </c>
      <c r="AG9" s="21" t="b">
        <v>0</v>
      </c>
      <c r="AH9" s="21" t="b">
        <v>0</v>
      </c>
      <c r="AI9" s="21" t="b">
        <v>0</v>
      </c>
      <c r="AJ9" s="16" t="b">
        <v>0</v>
      </c>
      <c r="AK9" s="21" t="b">
        <v>0</v>
      </c>
      <c r="AL9" s="3"/>
      <c r="AM9" s="18">
        <v>31.0</v>
      </c>
      <c r="AN9" s="18">
        <f t="shared" si="1"/>
        <v>0</v>
      </c>
      <c r="AO9" s="19">
        <f t="shared" si="2"/>
        <v>0</v>
      </c>
      <c r="AP9" s="20" t="str">
        <f>IFERROR(__xludf.DUMMYFUNCTION("SPARKLINE(AO9, {""charttype"",""bar""; ""max"",1;""color1"",""green""; ""empty"",""zero""})"),"")</f>
        <v/>
      </c>
    </row>
    <row r="10">
      <c r="A10" s="15">
        <v>3.0</v>
      </c>
      <c r="B10" s="15" t="s">
        <v>24</v>
      </c>
      <c r="C10" s="16" t="b">
        <v>0</v>
      </c>
      <c r="D10" s="21" t="b">
        <v>0</v>
      </c>
      <c r="E10" s="16" t="b">
        <v>0</v>
      </c>
      <c r="F10" s="21" t="b">
        <v>0</v>
      </c>
      <c r="G10" s="16" t="b">
        <v>0</v>
      </c>
      <c r="H10" s="21" t="b">
        <v>0</v>
      </c>
      <c r="I10" s="16" t="b">
        <v>0</v>
      </c>
      <c r="J10" s="22" t="b">
        <v>0</v>
      </c>
      <c r="K10" s="22" t="b">
        <v>0</v>
      </c>
      <c r="L10" s="22" t="b">
        <v>0</v>
      </c>
      <c r="M10" s="22" t="b">
        <v>0</v>
      </c>
      <c r="N10" s="22" t="b">
        <v>0</v>
      </c>
      <c r="O10" s="22" t="b">
        <v>0</v>
      </c>
      <c r="P10" s="17" t="b">
        <v>0</v>
      </c>
      <c r="Q10" s="21" t="b">
        <v>0</v>
      </c>
      <c r="R10" s="21" t="b">
        <v>0</v>
      </c>
      <c r="S10" s="16" t="b">
        <v>0</v>
      </c>
      <c r="T10" s="21" t="b">
        <v>0</v>
      </c>
      <c r="U10" s="16" t="b">
        <v>0</v>
      </c>
      <c r="V10" s="16" t="b">
        <v>0</v>
      </c>
      <c r="W10" s="21" t="b">
        <v>0</v>
      </c>
      <c r="X10" s="17" t="b">
        <v>0</v>
      </c>
      <c r="Y10" s="22" t="b">
        <v>0</v>
      </c>
      <c r="Z10" s="22" t="b">
        <v>0</v>
      </c>
      <c r="AA10" s="22" t="b">
        <v>0</v>
      </c>
      <c r="AB10" s="22" t="b">
        <v>0</v>
      </c>
      <c r="AC10" s="22" t="b">
        <v>0</v>
      </c>
      <c r="AD10" s="22" t="b">
        <v>0</v>
      </c>
      <c r="AE10" s="21" t="b">
        <v>0</v>
      </c>
      <c r="AF10" s="21" t="b">
        <v>0</v>
      </c>
      <c r="AG10" s="21" t="b">
        <v>0</v>
      </c>
      <c r="AH10" s="21" t="b">
        <v>0</v>
      </c>
      <c r="AI10" s="16" t="b">
        <v>0</v>
      </c>
      <c r="AJ10" s="16" t="b">
        <v>0</v>
      </c>
      <c r="AK10" s="21" t="b">
        <v>0</v>
      </c>
      <c r="AM10" s="18">
        <v>31.0</v>
      </c>
      <c r="AN10" s="18">
        <f t="shared" si="1"/>
        <v>0</v>
      </c>
      <c r="AO10" s="19">
        <f t="shared" si="2"/>
        <v>0</v>
      </c>
      <c r="AP10" s="20" t="str">
        <f>IFERROR(__xludf.DUMMYFUNCTION("SPARKLINE(AO10, {""charttype"",""bar""; ""max"",1;""color1"",""green""; ""empty"",""zero""})"),"")</f>
        <v/>
      </c>
    </row>
    <row r="11">
      <c r="A11" s="15">
        <v>4.0</v>
      </c>
      <c r="B11" s="15" t="s">
        <v>25</v>
      </c>
      <c r="C11" s="16" t="b">
        <v>0</v>
      </c>
      <c r="D11" s="16" t="b">
        <v>0</v>
      </c>
      <c r="E11" s="16" t="b">
        <v>0</v>
      </c>
      <c r="F11" s="16" t="b">
        <v>0</v>
      </c>
      <c r="G11" s="16" t="b">
        <v>0</v>
      </c>
      <c r="H11" s="16" t="b">
        <v>0</v>
      </c>
      <c r="I11" s="16" t="b">
        <v>0</v>
      </c>
      <c r="J11" s="22" t="b">
        <v>0</v>
      </c>
      <c r="K11" s="22" t="b">
        <v>0</v>
      </c>
      <c r="L11" s="22" t="b">
        <v>0</v>
      </c>
      <c r="M11" s="22" t="b">
        <v>0</v>
      </c>
      <c r="N11" s="17" t="b">
        <v>0</v>
      </c>
      <c r="O11" s="22" t="b">
        <v>0</v>
      </c>
      <c r="P11" s="22" t="b">
        <v>0</v>
      </c>
      <c r="Q11" s="21" t="b">
        <v>0</v>
      </c>
      <c r="R11" s="16" t="b">
        <v>0</v>
      </c>
      <c r="S11" s="16" t="b">
        <v>0</v>
      </c>
      <c r="T11" s="21" t="b">
        <v>0</v>
      </c>
      <c r="U11" s="16" t="b">
        <v>0</v>
      </c>
      <c r="V11" s="16" t="b">
        <v>0</v>
      </c>
      <c r="W11" s="21" t="b">
        <v>0</v>
      </c>
      <c r="X11" s="17" t="b">
        <v>0</v>
      </c>
      <c r="Y11" s="22" t="b">
        <v>0</v>
      </c>
      <c r="Z11" s="22" t="b">
        <v>0</v>
      </c>
      <c r="AA11" s="22" t="b">
        <v>0</v>
      </c>
      <c r="AB11" s="22" t="b">
        <v>0</v>
      </c>
      <c r="AC11" s="22" t="b">
        <v>0</v>
      </c>
      <c r="AD11" s="22" t="b">
        <v>0</v>
      </c>
      <c r="AE11" s="21" t="b">
        <v>0</v>
      </c>
      <c r="AF11" s="21" t="b">
        <v>0</v>
      </c>
      <c r="AG11" s="21" t="b">
        <v>0</v>
      </c>
      <c r="AH11" s="21" t="b">
        <v>0</v>
      </c>
      <c r="AI11" s="16" t="b">
        <v>0</v>
      </c>
      <c r="AJ11" s="21" t="b">
        <v>0</v>
      </c>
      <c r="AK11" s="21" t="b">
        <v>0</v>
      </c>
      <c r="AM11" s="18">
        <v>31.0</v>
      </c>
      <c r="AN11" s="18">
        <f t="shared" si="1"/>
        <v>0</v>
      </c>
      <c r="AO11" s="19">
        <f t="shared" si="2"/>
        <v>0</v>
      </c>
      <c r="AP11" s="20" t="str">
        <f>IFERROR(__xludf.DUMMYFUNCTION("SPARKLINE(AO11, {""charttype"",""bar""; ""max"",1;""color1"",""green""; ""empty"",""zero""})"),"")</f>
        <v/>
      </c>
    </row>
    <row r="12">
      <c r="A12" s="15">
        <v>5.0</v>
      </c>
      <c r="B12" s="15" t="s">
        <v>26</v>
      </c>
      <c r="C12" s="16" t="b">
        <v>0</v>
      </c>
      <c r="D12" s="16" t="b">
        <v>0</v>
      </c>
      <c r="E12" s="21" t="b">
        <v>0</v>
      </c>
      <c r="F12" s="21" t="b">
        <v>0</v>
      </c>
      <c r="G12" s="16" t="b">
        <v>0</v>
      </c>
      <c r="H12" s="16" t="b">
        <v>0</v>
      </c>
      <c r="I12" s="16" t="b">
        <v>0</v>
      </c>
      <c r="J12" s="22" t="b">
        <v>0</v>
      </c>
      <c r="K12" s="22" t="b">
        <v>0</v>
      </c>
      <c r="L12" s="17" t="b">
        <v>0</v>
      </c>
      <c r="M12" s="17" t="b">
        <v>0</v>
      </c>
      <c r="N12" s="17" t="b">
        <v>0</v>
      </c>
      <c r="O12" s="22" t="b">
        <v>0</v>
      </c>
      <c r="P12" s="22" t="b">
        <v>0</v>
      </c>
      <c r="Q12" s="16" t="b">
        <v>0</v>
      </c>
      <c r="R12" s="16" t="b">
        <v>0</v>
      </c>
      <c r="S12" s="21" t="b">
        <v>0</v>
      </c>
      <c r="T12" s="21" t="b">
        <v>0</v>
      </c>
      <c r="U12" s="16" t="b">
        <v>0</v>
      </c>
      <c r="V12" s="16" t="b">
        <v>0</v>
      </c>
      <c r="W12" s="21" t="b">
        <v>0</v>
      </c>
      <c r="X12" s="17" t="b">
        <v>0</v>
      </c>
      <c r="Y12" s="22" t="b">
        <v>0</v>
      </c>
      <c r="Z12" s="22" t="b">
        <v>0</v>
      </c>
      <c r="AA12" s="22" t="b">
        <v>0</v>
      </c>
      <c r="AB12" s="22" t="b">
        <v>0</v>
      </c>
      <c r="AC12" s="22" t="b">
        <v>0</v>
      </c>
      <c r="AD12" s="22" t="b">
        <v>0</v>
      </c>
      <c r="AE12" s="21" t="b">
        <v>0</v>
      </c>
      <c r="AF12" s="21" t="b">
        <v>0</v>
      </c>
      <c r="AG12" s="21" t="b">
        <v>0</v>
      </c>
      <c r="AH12" s="21" t="b">
        <v>0</v>
      </c>
      <c r="AI12" s="21" t="b">
        <v>0</v>
      </c>
      <c r="AJ12" s="21" t="b">
        <v>0</v>
      </c>
      <c r="AK12" s="21" t="b">
        <v>0</v>
      </c>
      <c r="AM12" s="18">
        <v>31.0</v>
      </c>
      <c r="AN12" s="18">
        <f t="shared" si="1"/>
        <v>0</v>
      </c>
      <c r="AO12" s="19">
        <f t="shared" si="2"/>
        <v>0</v>
      </c>
      <c r="AP12" s="20" t="str">
        <f>IFERROR(__xludf.DUMMYFUNCTION("SPARKLINE(AO12, {""charttype"",""bar""; ""max"",1;""color1"",""green""; ""empty"",""zero""})"),"")</f>
        <v/>
      </c>
    </row>
    <row r="13">
      <c r="A13" s="15">
        <v>6.0</v>
      </c>
      <c r="B13" s="15" t="s">
        <v>27</v>
      </c>
      <c r="C13" s="16" t="b">
        <v>0</v>
      </c>
      <c r="D13" s="21" t="b">
        <v>0</v>
      </c>
      <c r="E13" s="21" t="b">
        <v>0</v>
      </c>
      <c r="F13" s="21" t="b">
        <v>0</v>
      </c>
      <c r="G13" s="21" t="b">
        <v>0</v>
      </c>
      <c r="H13" s="21" t="b">
        <v>0</v>
      </c>
      <c r="I13" s="16" t="b">
        <v>0</v>
      </c>
      <c r="J13" s="17" t="b">
        <v>0</v>
      </c>
      <c r="K13" s="22" t="b">
        <v>0</v>
      </c>
      <c r="L13" s="22" t="b">
        <v>0</v>
      </c>
      <c r="M13" s="22" t="b">
        <v>0</v>
      </c>
      <c r="N13" s="17" t="b">
        <v>0</v>
      </c>
      <c r="O13" s="22" t="b">
        <v>0</v>
      </c>
      <c r="P13" s="22" t="b">
        <v>0</v>
      </c>
      <c r="Q13" s="21" t="b">
        <v>0</v>
      </c>
      <c r="R13" s="16" t="b">
        <v>0</v>
      </c>
      <c r="S13" s="21" t="b">
        <v>0</v>
      </c>
      <c r="T13" s="21" t="b">
        <v>0</v>
      </c>
      <c r="U13" s="16" t="b">
        <v>0</v>
      </c>
      <c r="V13" s="16" t="b">
        <v>0</v>
      </c>
      <c r="W13" s="21" t="b">
        <v>0</v>
      </c>
      <c r="X13" s="17" t="b">
        <v>0</v>
      </c>
      <c r="Y13" s="22" t="b">
        <v>0</v>
      </c>
      <c r="Z13" s="22" t="b">
        <v>0</v>
      </c>
      <c r="AA13" s="22" t="b">
        <v>0</v>
      </c>
      <c r="AB13" s="22" t="b">
        <v>0</v>
      </c>
      <c r="AC13" s="17" t="b">
        <v>0</v>
      </c>
      <c r="AD13" s="22" t="b">
        <v>0</v>
      </c>
      <c r="AE13" s="21" t="b">
        <v>0</v>
      </c>
      <c r="AF13" s="21" t="b">
        <v>0</v>
      </c>
      <c r="AG13" s="21" t="b">
        <v>0</v>
      </c>
      <c r="AH13" s="21" t="b">
        <v>0</v>
      </c>
      <c r="AI13" s="21" t="b">
        <v>0</v>
      </c>
      <c r="AJ13" s="21" t="b">
        <v>0</v>
      </c>
      <c r="AK13" s="21" t="b">
        <v>0</v>
      </c>
      <c r="AM13" s="18">
        <v>31.0</v>
      </c>
      <c r="AN13" s="18">
        <f t="shared" si="1"/>
        <v>0</v>
      </c>
      <c r="AO13" s="19">
        <f t="shared" si="2"/>
        <v>0</v>
      </c>
      <c r="AP13" s="20" t="str">
        <f>IFERROR(__xludf.DUMMYFUNCTION("SPARKLINE(AO13, {""charttype"",""bar""; ""max"",1;""color1"",""green""; ""empty"",""zero""})"),"")</f>
        <v/>
      </c>
    </row>
    <row r="14">
      <c r="A14" s="15">
        <v>7.0</v>
      </c>
      <c r="B14" s="15" t="s">
        <v>28</v>
      </c>
      <c r="C14" s="16" t="b">
        <v>0</v>
      </c>
      <c r="D14" s="16" t="b">
        <v>0</v>
      </c>
      <c r="E14" s="21" t="b">
        <v>0</v>
      </c>
      <c r="F14" s="21" t="b">
        <v>0</v>
      </c>
      <c r="G14" s="16" t="b">
        <v>0</v>
      </c>
      <c r="H14" s="21" t="b">
        <v>0</v>
      </c>
      <c r="I14" s="21" t="b">
        <v>0</v>
      </c>
      <c r="J14" s="17" t="b">
        <v>0</v>
      </c>
      <c r="K14" s="22" t="b">
        <v>0</v>
      </c>
      <c r="L14" s="17" t="b">
        <v>0</v>
      </c>
      <c r="M14" s="17" t="b">
        <v>0</v>
      </c>
      <c r="N14" s="22" t="b">
        <v>0</v>
      </c>
      <c r="O14" s="22" t="b">
        <v>0</v>
      </c>
      <c r="P14" s="22" t="b">
        <v>0</v>
      </c>
      <c r="Q14" s="21" t="b">
        <v>0</v>
      </c>
      <c r="R14" s="16" t="b">
        <v>0</v>
      </c>
      <c r="S14" s="21" t="b">
        <v>0</v>
      </c>
      <c r="T14" s="21" t="b">
        <v>0</v>
      </c>
      <c r="U14" s="16" t="b">
        <v>0</v>
      </c>
      <c r="V14" s="16" t="b">
        <v>0</v>
      </c>
      <c r="W14" s="21" t="b">
        <v>0</v>
      </c>
      <c r="X14" s="17" t="b">
        <v>0</v>
      </c>
      <c r="Y14" s="22" t="b">
        <v>0</v>
      </c>
      <c r="Z14" s="22" t="b">
        <v>0</v>
      </c>
      <c r="AA14" s="22" t="b">
        <v>0</v>
      </c>
      <c r="AB14" s="22" t="b">
        <v>0</v>
      </c>
      <c r="AC14" s="17" t="b">
        <v>0</v>
      </c>
      <c r="AD14" s="22" t="b">
        <v>0</v>
      </c>
      <c r="AE14" s="21" t="b">
        <v>0</v>
      </c>
      <c r="AF14" s="21" t="b">
        <v>0</v>
      </c>
      <c r="AG14" s="16" t="b">
        <v>0</v>
      </c>
      <c r="AH14" s="21" t="b">
        <v>0</v>
      </c>
      <c r="AI14" s="21" t="b">
        <v>0</v>
      </c>
      <c r="AJ14" s="21" t="b">
        <v>0</v>
      </c>
      <c r="AK14" s="16" t="b">
        <v>0</v>
      </c>
      <c r="AM14" s="18">
        <v>31.0</v>
      </c>
      <c r="AN14" s="18">
        <f t="shared" si="1"/>
        <v>0</v>
      </c>
      <c r="AO14" s="19">
        <f t="shared" si="2"/>
        <v>0</v>
      </c>
      <c r="AP14" s="20" t="str">
        <f>IFERROR(__xludf.DUMMYFUNCTION("SPARKLINE(AO14, {""charttype"",""bar""; ""max"",1;""color1"",""green""; ""empty"",""zero""})"),"")</f>
        <v/>
      </c>
    </row>
    <row r="15">
      <c r="A15" s="15">
        <v>8.0</v>
      </c>
      <c r="B15" s="15" t="s">
        <v>29</v>
      </c>
      <c r="C15" s="16" t="b">
        <v>0</v>
      </c>
      <c r="D15" s="21" t="b">
        <v>0</v>
      </c>
      <c r="E15" s="21" t="b">
        <v>0</v>
      </c>
      <c r="F15" s="16" t="b">
        <v>0</v>
      </c>
      <c r="G15" s="21" t="b">
        <v>0</v>
      </c>
      <c r="H15" s="16" t="b">
        <v>0</v>
      </c>
      <c r="I15" s="21" t="b">
        <v>0</v>
      </c>
      <c r="J15" s="17" t="b">
        <v>0</v>
      </c>
      <c r="K15" s="22" t="b">
        <v>0</v>
      </c>
      <c r="L15" s="22" t="b">
        <v>0</v>
      </c>
      <c r="M15" s="17" t="b">
        <v>0</v>
      </c>
      <c r="N15" s="22" t="b">
        <v>0</v>
      </c>
      <c r="O15" s="22" t="b">
        <v>0</v>
      </c>
      <c r="P15" s="22" t="b">
        <v>0</v>
      </c>
      <c r="Q15" s="21" t="b">
        <v>0</v>
      </c>
      <c r="R15" s="16" t="b">
        <v>0</v>
      </c>
      <c r="S15" s="21" t="b">
        <v>0</v>
      </c>
      <c r="T15" s="21" t="b">
        <v>0</v>
      </c>
      <c r="U15" s="16" t="b">
        <v>0</v>
      </c>
      <c r="V15" s="16" t="b">
        <v>0</v>
      </c>
      <c r="W15" s="21" t="b">
        <v>0</v>
      </c>
      <c r="X15" s="17" t="b">
        <v>0</v>
      </c>
      <c r="Y15" s="22" t="b">
        <v>0</v>
      </c>
      <c r="Z15" s="22" t="b">
        <v>0</v>
      </c>
      <c r="AA15" s="22" t="b">
        <v>0</v>
      </c>
      <c r="AB15" s="22" t="b">
        <v>0</v>
      </c>
      <c r="AC15" s="17" t="b">
        <v>0</v>
      </c>
      <c r="AD15" s="22" t="b">
        <v>0</v>
      </c>
      <c r="AE15" s="21" t="b">
        <v>0</v>
      </c>
      <c r="AF15" s="21" t="b">
        <v>0</v>
      </c>
      <c r="AG15" s="16" t="b">
        <v>0</v>
      </c>
      <c r="AH15" s="21" t="b">
        <v>0</v>
      </c>
      <c r="AI15" s="21" t="b">
        <v>0</v>
      </c>
      <c r="AJ15" s="16" t="b">
        <v>0</v>
      </c>
      <c r="AK15" s="16" t="b">
        <v>0</v>
      </c>
      <c r="AM15" s="18">
        <v>31.0</v>
      </c>
      <c r="AN15" s="18">
        <f t="shared" si="1"/>
        <v>0</v>
      </c>
      <c r="AO15" s="19">
        <f t="shared" si="2"/>
        <v>0</v>
      </c>
      <c r="AP15" s="20" t="str">
        <f>IFERROR(__xludf.DUMMYFUNCTION("SPARKLINE(AO15, {""charttype"",""bar""; ""max"",1;""color1"",""green""; ""empty"",""zero""})"),"")</f>
        <v/>
      </c>
    </row>
    <row r="17">
      <c r="A17" s="23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>
      <c r="A18" s="15" t="s">
        <v>3</v>
      </c>
      <c r="C18" s="25">
        <f t="shared" ref="C18:AG18" si="3">IF(COUNTA(C8:C12)=0, 0, COUNTIF(C8:C12, TRUE)/COUNTA(C8:C12))</f>
        <v>0.2</v>
      </c>
      <c r="D18" s="25">
        <f t="shared" si="3"/>
        <v>0</v>
      </c>
      <c r="E18" s="25">
        <f t="shared" si="3"/>
        <v>0</v>
      </c>
      <c r="F18" s="25">
        <f t="shared" si="3"/>
        <v>0</v>
      </c>
      <c r="G18" s="25">
        <f t="shared" si="3"/>
        <v>0</v>
      </c>
      <c r="H18" s="25">
        <f t="shared" si="3"/>
        <v>0</v>
      </c>
      <c r="I18" s="25">
        <f t="shared" si="3"/>
        <v>0</v>
      </c>
      <c r="J18" s="25">
        <f t="shared" si="3"/>
        <v>0</v>
      </c>
      <c r="K18" s="25">
        <f t="shared" si="3"/>
        <v>0</v>
      </c>
      <c r="L18" s="25">
        <f t="shared" si="3"/>
        <v>0</v>
      </c>
      <c r="M18" s="25">
        <f t="shared" si="3"/>
        <v>0</v>
      </c>
      <c r="N18" s="25">
        <f t="shared" si="3"/>
        <v>0</v>
      </c>
      <c r="O18" s="25">
        <f t="shared" si="3"/>
        <v>0</v>
      </c>
      <c r="P18" s="25">
        <f t="shared" si="3"/>
        <v>0</v>
      </c>
      <c r="Q18" s="25">
        <f t="shared" si="3"/>
        <v>0</v>
      </c>
      <c r="R18" s="25">
        <f t="shared" si="3"/>
        <v>0</v>
      </c>
      <c r="S18" s="25">
        <f t="shared" si="3"/>
        <v>0</v>
      </c>
      <c r="T18" s="25">
        <f t="shared" si="3"/>
        <v>0</v>
      </c>
      <c r="U18" s="25">
        <f t="shared" si="3"/>
        <v>0</v>
      </c>
      <c r="V18" s="25">
        <f t="shared" si="3"/>
        <v>0</v>
      </c>
      <c r="W18" s="25">
        <f t="shared" si="3"/>
        <v>0</v>
      </c>
      <c r="X18" s="25">
        <f t="shared" si="3"/>
        <v>0</v>
      </c>
      <c r="Y18" s="25">
        <f t="shared" si="3"/>
        <v>0</v>
      </c>
      <c r="Z18" s="25">
        <f t="shared" si="3"/>
        <v>0</v>
      </c>
      <c r="AA18" s="25">
        <f t="shared" si="3"/>
        <v>0</v>
      </c>
      <c r="AB18" s="25">
        <f t="shared" si="3"/>
        <v>0</v>
      </c>
      <c r="AC18" s="25">
        <f t="shared" si="3"/>
        <v>0</v>
      </c>
      <c r="AD18" s="25">
        <f t="shared" si="3"/>
        <v>0</v>
      </c>
      <c r="AE18" s="25">
        <f t="shared" si="3"/>
        <v>0</v>
      </c>
      <c r="AF18" s="25">
        <f t="shared" si="3"/>
        <v>0</v>
      </c>
      <c r="AG18" s="25">
        <f t="shared" si="3"/>
        <v>0</v>
      </c>
      <c r="AH18" s="3"/>
      <c r="AI18" s="3"/>
      <c r="AJ18" s="3"/>
      <c r="AK18" s="3"/>
      <c r="AL18" s="3"/>
      <c r="AM18" s="11" t="s">
        <v>30</v>
      </c>
    </row>
    <row r="19">
      <c r="A19" s="15" t="s">
        <v>31</v>
      </c>
      <c r="C19" s="26">
        <f t="shared" ref="C19:AG19" si="4">COUNTIF(C8:C12, TRUE)</f>
        <v>1</v>
      </c>
      <c r="D19" s="26">
        <f t="shared" si="4"/>
        <v>0</v>
      </c>
      <c r="E19" s="26">
        <f t="shared" si="4"/>
        <v>0</v>
      </c>
      <c r="F19" s="26">
        <f t="shared" si="4"/>
        <v>0</v>
      </c>
      <c r="G19" s="26">
        <f t="shared" si="4"/>
        <v>0</v>
      </c>
      <c r="H19" s="26">
        <f t="shared" si="4"/>
        <v>0</v>
      </c>
      <c r="I19" s="26">
        <f t="shared" si="4"/>
        <v>0</v>
      </c>
      <c r="J19" s="26">
        <f t="shared" si="4"/>
        <v>0</v>
      </c>
      <c r="K19" s="26">
        <f t="shared" si="4"/>
        <v>0</v>
      </c>
      <c r="L19" s="26">
        <f t="shared" si="4"/>
        <v>0</v>
      </c>
      <c r="M19" s="26">
        <f t="shared" si="4"/>
        <v>0</v>
      </c>
      <c r="N19" s="26">
        <f t="shared" si="4"/>
        <v>0</v>
      </c>
      <c r="O19" s="26">
        <f t="shared" si="4"/>
        <v>0</v>
      </c>
      <c r="P19" s="26">
        <f t="shared" si="4"/>
        <v>0</v>
      </c>
      <c r="Q19" s="26">
        <f t="shared" si="4"/>
        <v>0</v>
      </c>
      <c r="R19" s="26">
        <f t="shared" si="4"/>
        <v>0</v>
      </c>
      <c r="S19" s="26">
        <f t="shared" si="4"/>
        <v>0</v>
      </c>
      <c r="T19" s="26">
        <f t="shared" si="4"/>
        <v>0</v>
      </c>
      <c r="U19" s="26">
        <f t="shared" si="4"/>
        <v>0</v>
      </c>
      <c r="V19" s="26">
        <f t="shared" si="4"/>
        <v>0</v>
      </c>
      <c r="W19" s="26">
        <f t="shared" si="4"/>
        <v>0</v>
      </c>
      <c r="X19" s="26">
        <f t="shared" si="4"/>
        <v>0</v>
      </c>
      <c r="Y19" s="26">
        <f t="shared" si="4"/>
        <v>0</v>
      </c>
      <c r="Z19" s="26">
        <f t="shared" si="4"/>
        <v>0</v>
      </c>
      <c r="AA19" s="26">
        <f t="shared" si="4"/>
        <v>0</v>
      </c>
      <c r="AB19" s="26">
        <f t="shared" si="4"/>
        <v>0</v>
      </c>
      <c r="AC19" s="26">
        <f t="shared" si="4"/>
        <v>0</v>
      </c>
      <c r="AD19" s="26">
        <f t="shared" si="4"/>
        <v>0</v>
      </c>
      <c r="AE19" s="26">
        <f t="shared" si="4"/>
        <v>0</v>
      </c>
      <c r="AF19" s="26">
        <f t="shared" si="4"/>
        <v>0</v>
      </c>
      <c r="AG19" s="26">
        <f t="shared" si="4"/>
        <v>0</v>
      </c>
      <c r="AH19" s="3"/>
      <c r="AI19" s="3"/>
      <c r="AJ19" s="3"/>
      <c r="AK19" s="3"/>
      <c r="AL19" s="3"/>
      <c r="AM19" s="27" t="s">
        <v>32</v>
      </c>
    </row>
    <row r="20">
      <c r="A20" s="15" t="s">
        <v>33</v>
      </c>
      <c r="C20" s="26">
        <f t="shared" ref="C20:AG20" si="5">COUNTIF(C8:C12, FALSE)</f>
        <v>4</v>
      </c>
      <c r="D20" s="26">
        <f t="shared" si="5"/>
        <v>5</v>
      </c>
      <c r="E20" s="26">
        <f t="shared" si="5"/>
        <v>5</v>
      </c>
      <c r="F20" s="26">
        <f t="shared" si="5"/>
        <v>5</v>
      </c>
      <c r="G20" s="26">
        <f t="shared" si="5"/>
        <v>5</v>
      </c>
      <c r="H20" s="26">
        <f t="shared" si="5"/>
        <v>5</v>
      </c>
      <c r="I20" s="26">
        <f t="shared" si="5"/>
        <v>5</v>
      </c>
      <c r="J20" s="26">
        <f t="shared" si="5"/>
        <v>5</v>
      </c>
      <c r="K20" s="26">
        <f t="shared" si="5"/>
        <v>5</v>
      </c>
      <c r="L20" s="26">
        <f t="shared" si="5"/>
        <v>5</v>
      </c>
      <c r="M20" s="26">
        <f t="shared" si="5"/>
        <v>5</v>
      </c>
      <c r="N20" s="26">
        <f t="shared" si="5"/>
        <v>5</v>
      </c>
      <c r="O20" s="26">
        <f t="shared" si="5"/>
        <v>5</v>
      </c>
      <c r="P20" s="26">
        <f t="shared" si="5"/>
        <v>5</v>
      </c>
      <c r="Q20" s="26">
        <f t="shared" si="5"/>
        <v>5</v>
      </c>
      <c r="R20" s="26">
        <f t="shared" si="5"/>
        <v>5</v>
      </c>
      <c r="S20" s="26">
        <f t="shared" si="5"/>
        <v>5</v>
      </c>
      <c r="T20" s="26">
        <f t="shared" si="5"/>
        <v>5</v>
      </c>
      <c r="U20" s="26">
        <f t="shared" si="5"/>
        <v>5</v>
      </c>
      <c r="V20" s="26">
        <f t="shared" si="5"/>
        <v>5</v>
      </c>
      <c r="W20" s="26">
        <f t="shared" si="5"/>
        <v>5</v>
      </c>
      <c r="X20" s="26">
        <f t="shared" si="5"/>
        <v>5</v>
      </c>
      <c r="Y20" s="26">
        <f t="shared" si="5"/>
        <v>5</v>
      </c>
      <c r="Z20" s="26">
        <f t="shared" si="5"/>
        <v>5</v>
      </c>
      <c r="AA20" s="26">
        <f t="shared" si="5"/>
        <v>5</v>
      </c>
      <c r="AB20" s="26">
        <f t="shared" si="5"/>
        <v>5</v>
      </c>
      <c r="AC20" s="26">
        <f t="shared" si="5"/>
        <v>5</v>
      </c>
      <c r="AD20" s="26">
        <f t="shared" si="5"/>
        <v>5</v>
      </c>
      <c r="AE20" s="26">
        <f t="shared" si="5"/>
        <v>5</v>
      </c>
      <c r="AF20" s="26">
        <f t="shared" si="5"/>
        <v>5</v>
      </c>
      <c r="AG20" s="26">
        <f t="shared" si="5"/>
        <v>5</v>
      </c>
      <c r="AH20" s="3"/>
      <c r="AI20" s="3"/>
      <c r="AJ20" s="3"/>
      <c r="AK20" s="3"/>
      <c r="AL20" s="3"/>
    </row>
    <row r="21">
      <c r="AD21" s="28"/>
      <c r="AE21" s="28"/>
      <c r="AF21" s="28"/>
      <c r="AG21" s="28"/>
      <c r="AH21" s="28"/>
      <c r="AI21" s="3"/>
      <c r="AJ21" s="3"/>
      <c r="AK21" s="3"/>
      <c r="AL21" s="3"/>
    </row>
    <row r="22">
      <c r="AD22" s="28"/>
      <c r="AE22" s="28"/>
      <c r="AF22" s="28"/>
      <c r="AG22" s="28"/>
      <c r="AH22" s="28"/>
      <c r="AI22" s="3"/>
      <c r="AJ22" s="3"/>
      <c r="AK22" s="3"/>
      <c r="AL22" s="3"/>
    </row>
    <row r="23">
      <c r="AI23" s="3"/>
      <c r="AJ23" s="3"/>
      <c r="AK23" s="3"/>
      <c r="AL23" s="3"/>
    </row>
    <row r="24">
      <c r="AI24" s="3"/>
      <c r="AJ24" s="3"/>
      <c r="AK24" s="3"/>
      <c r="AL24" s="3"/>
    </row>
    <row r="25">
      <c r="AI25" s="3"/>
      <c r="AJ25" s="3"/>
      <c r="AK25" s="3"/>
      <c r="AL25" s="3"/>
    </row>
    <row r="26">
      <c r="AD26" s="28"/>
      <c r="AE26" s="28"/>
      <c r="AF26" s="28"/>
      <c r="AG26" s="28"/>
      <c r="AH26" s="28"/>
      <c r="AI26" s="3"/>
      <c r="AJ26" s="3"/>
      <c r="AK26" s="3"/>
      <c r="AL26" s="3"/>
    </row>
    <row r="27"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</row>
    <row r="28"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</row>
    <row r="29">
      <c r="AD29" s="28"/>
      <c r="AE29" s="28"/>
      <c r="AF29" s="28"/>
      <c r="AG29" s="28"/>
      <c r="AH29" s="28"/>
      <c r="AM29" s="28"/>
      <c r="AN29" s="28"/>
      <c r="AO29" s="28"/>
      <c r="AP29" s="28"/>
    </row>
    <row r="30">
      <c r="AM30" s="28"/>
      <c r="AN30" s="28"/>
      <c r="AO30" s="28"/>
      <c r="AP30" s="28"/>
    </row>
    <row r="31">
      <c r="AM31" s="28"/>
      <c r="AN31" s="28"/>
      <c r="AO31" s="28"/>
      <c r="AP31" s="28"/>
    </row>
    <row r="32"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</row>
    <row r="33"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</row>
    <row r="34"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</row>
    <row r="35"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</row>
    <row r="36"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</row>
    <row r="37"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</row>
    <row r="38"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</row>
    <row r="39"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</row>
    <row r="40"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</row>
    <row r="41"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</row>
    <row r="42"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</row>
    <row r="43"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</row>
    <row r="44"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</row>
    <row r="45"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</row>
    <row r="46"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</row>
    <row r="47"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</row>
    <row r="48"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</row>
    <row r="49"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</row>
    <row r="50"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</row>
    <row r="51"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</row>
    <row r="52"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</row>
    <row r="53"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</row>
    <row r="54"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</row>
    <row r="55"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</row>
    <row r="56"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</row>
    <row r="57"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</row>
    <row r="58"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</row>
    <row r="59"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</row>
    <row r="60"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</row>
    <row r="61"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</row>
    <row r="62"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</row>
    <row r="63"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</row>
    <row r="64"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</row>
    <row r="65">
      <c r="J65" s="15" t="s">
        <v>27</v>
      </c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</row>
    <row r="66">
      <c r="J66" s="15" t="s">
        <v>25</v>
      </c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</row>
    <row r="67">
      <c r="J67" s="15" t="s">
        <v>34</v>
      </c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</row>
    <row r="68">
      <c r="J68" s="15" t="s">
        <v>26</v>
      </c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</row>
    <row r="69"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</row>
    <row r="70"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</row>
    <row r="71"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</row>
    <row r="72"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</row>
    <row r="73"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</row>
    <row r="74"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</row>
    <row r="75"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</row>
    <row r="76"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</row>
    <row r="77"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</row>
    <row r="78"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</row>
    <row r="79"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</row>
    <row r="80"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</row>
    <row r="81"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</row>
    <row r="82"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</row>
    <row r="83"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</row>
    <row r="84"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</row>
    <row r="85"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</row>
    <row r="86"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</row>
    <row r="87"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</row>
    <row r="88"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</row>
    <row r="89"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</row>
    <row r="90"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</row>
    <row r="91"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</row>
    <row r="92"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</row>
    <row r="93"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</row>
    <row r="94"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</row>
    <row r="95"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</row>
    <row r="96"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</row>
    <row r="97"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</row>
    <row r="98"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</row>
    <row r="99"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</row>
    <row r="100"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</row>
    <row r="101"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</row>
    <row r="102"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</row>
    <row r="103"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</row>
    <row r="104"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</row>
    <row r="105"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</row>
    <row r="106"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</row>
    <row r="107"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</row>
    <row r="108"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</row>
    <row r="109"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</row>
    <row r="110"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</row>
    <row r="111"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</row>
    <row r="112"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</row>
    <row r="113"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</row>
    <row r="114"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</row>
    <row r="115"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</row>
    <row r="116"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</row>
    <row r="117"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</row>
    <row r="118"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</row>
    <row r="119"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</row>
    <row r="120"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</row>
    <row r="121"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</row>
    <row r="122"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</row>
    <row r="123"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</row>
    <row r="124"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</row>
    <row r="125"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</row>
    <row r="126"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</row>
    <row r="127"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</row>
    <row r="128"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</row>
    <row r="129"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</row>
    <row r="130"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</row>
    <row r="131"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</row>
    <row r="132"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</row>
    <row r="133"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</row>
    <row r="134"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</row>
    <row r="135"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</row>
    <row r="136"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</row>
    <row r="137"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</row>
    <row r="138"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</row>
    <row r="139"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</row>
    <row r="140"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</row>
    <row r="141"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</row>
    <row r="142"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</row>
    <row r="143"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</row>
    <row r="144"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</row>
    <row r="145"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</row>
    <row r="146"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</row>
    <row r="147"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</row>
    <row r="148"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</row>
    <row r="149"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</row>
    <row r="150"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</row>
    <row r="151"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</row>
    <row r="152"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</row>
    <row r="153"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</row>
    <row r="154"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</row>
    <row r="155"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</row>
    <row r="156"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</row>
    <row r="157"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</row>
    <row r="158"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</row>
    <row r="159"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</row>
    <row r="160"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</row>
    <row r="161"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</row>
    <row r="162"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</row>
    <row r="163"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</row>
    <row r="164"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</row>
    <row r="165"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</row>
    <row r="166"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</row>
    <row r="167"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</row>
    <row r="168"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</row>
    <row r="169"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</row>
    <row r="170"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</row>
    <row r="171"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</row>
    <row r="172"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</row>
    <row r="173"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</row>
    <row r="174"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</row>
    <row r="175"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</row>
    <row r="176"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</row>
    <row r="177"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</row>
    <row r="178"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</row>
    <row r="179"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</row>
    <row r="180"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</row>
    <row r="181"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</row>
    <row r="182"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</row>
    <row r="183"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</row>
    <row r="184"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</row>
    <row r="185"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</row>
    <row r="186"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</row>
    <row r="187"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</row>
    <row r="188"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</row>
    <row r="189"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</row>
    <row r="190"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</row>
    <row r="191"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</row>
    <row r="192"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</row>
    <row r="193"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</row>
    <row r="194"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</row>
    <row r="195"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</row>
    <row r="196"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</row>
    <row r="197"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</row>
    <row r="198"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</row>
    <row r="199"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</row>
    <row r="200"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</row>
    <row r="201"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</row>
    <row r="202"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</row>
    <row r="203"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</row>
    <row r="204"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</row>
    <row r="205"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</row>
    <row r="206"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</row>
    <row r="207"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</row>
    <row r="208"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</row>
    <row r="209"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</row>
    <row r="210"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</row>
    <row r="211"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</row>
    <row r="212"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</row>
    <row r="213"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</row>
    <row r="214"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</row>
    <row r="215"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</row>
    <row r="216"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</row>
    <row r="217"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</row>
    <row r="218"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</row>
    <row r="219"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</row>
    <row r="220"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</row>
    <row r="221"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</row>
    <row r="222"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</row>
    <row r="223"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</row>
    <row r="224"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</row>
    <row r="225"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</row>
    <row r="226"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</row>
    <row r="227"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</row>
    <row r="228"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</row>
    <row r="229"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</row>
    <row r="230"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</row>
    <row r="231"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</row>
    <row r="232"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</row>
    <row r="233"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</row>
    <row r="234"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</row>
    <row r="235"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</row>
    <row r="236"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</row>
    <row r="237"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</row>
    <row r="238"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</row>
    <row r="239"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</row>
    <row r="240"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</row>
    <row r="241"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</row>
    <row r="242"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</row>
    <row r="243"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</row>
    <row r="244"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</row>
    <row r="245"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</row>
    <row r="246"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</row>
    <row r="247"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</row>
    <row r="248"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</row>
    <row r="249"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</row>
    <row r="250"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</row>
    <row r="251"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</row>
    <row r="252"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</row>
    <row r="253"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</row>
    <row r="254"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</row>
    <row r="255"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</row>
    <row r="256"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</row>
    <row r="257"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</row>
    <row r="258"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</row>
    <row r="259"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</row>
    <row r="260"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</row>
    <row r="261"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</row>
    <row r="262"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</row>
    <row r="263"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</row>
    <row r="264"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</row>
    <row r="265"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</row>
    <row r="266"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</row>
    <row r="267"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</row>
    <row r="268"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</row>
    <row r="269"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</row>
    <row r="270"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</row>
    <row r="271"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</row>
    <row r="272"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</row>
    <row r="273"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</row>
    <row r="274"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</row>
    <row r="275"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</row>
    <row r="276"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</row>
    <row r="277"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</row>
    <row r="278"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</row>
    <row r="279"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</row>
    <row r="280"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</row>
    <row r="281"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</row>
    <row r="282"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</row>
    <row r="283"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</row>
    <row r="284"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</row>
    <row r="285"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</row>
    <row r="286"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</row>
    <row r="287"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</row>
    <row r="288"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</row>
    <row r="289"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</row>
    <row r="290"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</row>
    <row r="291"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</row>
    <row r="292"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</row>
    <row r="293"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</row>
    <row r="294"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</row>
    <row r="295"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</row>
    <row r="296"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</row>
    <row r="297"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</row>
    <row r="298"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</row>
    <row r="299"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</row>
    <row r="300"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</row>
    <row r="301"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</row>
    <row r="302"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</row>
    <row r="303"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</row>
    <row r="304"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</row>
    <row r="305"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</row>
    <row r="306"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</row>
    <row r="307"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</row>
    <row r="308"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</row>
    <row r="309"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</row>
    <row r="310"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</row>
    <row r="311"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</row>
    <row r="312"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</row>
    <row r="313"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</row>
    <row r="314"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</row>
    <row r="315"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</row>
    <row r="316"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</row>
    <row r="317"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</row>
    <row r="318"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</row>
    <row r="319"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</row>
    <row r="320"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</row>
    <row r="321"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</row>
    <row r="322"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</row>
    <row r="323"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</row>
    <row r="324"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</row>
    <row r="325"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</row>
    <row r="326"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</row>
    <row r="327"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</row>
    <row r="328"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</row>
    <row r="329"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</row>
    <row r="330"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</row>
    <row r="331"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</row>
    <row r="332"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</row>
    <row r="333"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</row>
    <row r="334"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</row>
    <row r="335"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</row>
    <row r="336"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</row>
    <row r="337"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</row>
    <row r="338"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</row>
    <row r="339"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</row>
    <row r="340"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</row>
    <row r="341"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</row>
    <row r="342"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</row>
    <row r="343"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</row>
    <row r="344"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</row>
    <row r="345"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</row>
    <row r="346"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</row>
    <row r="347"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</row>
    <row r="348"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</row>
    <row r="349"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</row>
    <row r="350"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</row>
    <row r="351"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</row>
    <row r="352"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</row>
    <row r="353"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</row>
    <row r="354"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</row>
    <row r="355"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</row>
    <row r="356"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</row>
    <row r="357"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</row>
    <row r="358"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</row>
    <row r="359"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</row>
    <row r="360"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</row>
    <row r="361"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</row>
    <row r="362"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</row>
    <row r="363"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</row>
    <row r="364"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</row>
    <row r="365"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</row>
    <row r="366"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</row>
    <row r="367"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</row>
    <row r="368"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</row>
    <row r="369"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</row>
    <row r="370"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</row>
    <row r="371"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</row>
    <row r="372"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</row>
    <row r="373"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</row>
    <row r="374"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</row>
    <row r="375"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</row>
    <row r="376"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</row>
    <row r="377"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</row>
    <row r="378"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</row>
    <row r="379"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</row>
    <row r="380"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</row>
    <row r="381"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</row>
    <row r="382"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</row>
    <row r="383"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</row>
    <row r="384"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</row>
    <row r="385"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</row>
    <row r="386"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</row>
    <row r="387"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</row>
    <row r="388"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</row>
    <row r="389"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</row>
    <row r="390"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</row>
    <row r="391"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</row>
    <row r="392"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</row>
    <row r="393"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</row>
    <row r="394"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</row>
    <row r="395"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</row>
    <row r="396"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</row>
    <row r="397"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</row>
    <row r="398"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</row>
    <row r="399"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</row>
    <row r="400"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</row>
    <row r="401"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</row>
    <row r="402"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</row>
    <row r="403"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</row>
    <row r="404"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</row>
    <row r="405"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</row>
    <row r="406"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</row>
    <row r="407"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</row>
    <row r="408"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</row>
    <row r="409"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</row>
    <row r="410"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</row>
    <row r="411"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</row>
    <row r="412"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</row>
    <row r="413"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</row>
    <row r="414"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</row>
    <row r="415"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</row>
    <row r="416"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</row>
    <row r="417"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</row>
    <row r="418"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</row>
    <row r="419"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</row>
    <row r="420"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</row>
    <row r="421"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</row>
    <row r="422"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</row>
    <row r="423"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</row>
    <row r="424"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</row>
    <row r="425"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</row>
    <row r="426"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</row>
    <row r="427"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</row>
    <row r="428"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</row>
    <row r="429"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</row>
    <row r="430"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</row>
    <row r="431"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</row>
    <row r="432"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</row>
    <row r="433"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</row>
    <row r="434"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</row>
    <row r="435"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</row>
    <row r="436"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</row>
    <row r="437"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</row>
    <row r="438"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</row>
    <row r="439"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</row>
    <row r="440"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</row>
    <row r="441"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</row>
    <row r="442"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</row>
    <row r="443"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</row>
    <row r="444"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</row>
    <row r="445"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</row>
    <row r="446"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</row>
    <row r="447"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</row>
    <row r="448"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</row>
    <row r="449"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</row>
    <row r="450"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</row>
    <row r="451"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</row>
    <row r="452"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</row>
    <row r="453"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</row>
    <row r="454"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</row>
    <row r="455"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</row>
    <row r="456"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</row>
    <row r="457"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</row>
    <row r="458"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</row>
    <row r="459"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</row>
    <row r="460"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</row>
    <row r="461"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</row>
    <row r="462"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</row>
    <row r="463"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</row>
    <row r="464"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</row>
    <row r="465"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</row>
    <row r="466"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</row>
    <row r="467"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</row>
    <row r="468"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</row>
    <row r="469"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</row>
    <row r="470"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</row>
    <row r="471"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</row>
    <row r="472"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</row>
    <row r="473"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</row>
    <row r="474"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</row>
    <row r="475"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</row>
    <row r="476"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</row>
    <row r="477"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</row>
    <row r="478"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</row>
    <row r="479"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</row>
    <row r="480"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</row>
    <row r="481"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</row>
    <row r="482"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</row>
    <row r="483"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</row>
    <row r="484"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</row>
    <row r="485"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</row>
    <row r="486"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</row>
    <row r="487"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</row>
    <row r="488"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</row>
    <row r="489"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</row>
    <row r="490"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</row>
    <row r="491"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</row>
    <row r="492"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</row>
    <row r="493"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</row>
    <row r="494"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</row>
    <row r="495"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</row>
    <row r="496"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</row>
    <row r="497"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</row>
    <row r="498"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</row>
    <row r="499"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</row>
    <row r="500"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</row>
    <row r="501"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</row>
    <row r="502"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</row>
    <row r="503"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</row>
    <row r="504"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</row>
    <row r="505"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</row>
    <row r="506"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</row>
    <row r="507"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</row>
    <row r="508"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</row>
    <row r="509"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</row>
    <row r="510"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</row>
    <row r="511"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</row>
    <row r="512"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</row>
    <row r="513"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</row>
    <row r="514"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</row>
    <row r="515"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</row>
    <row r="516"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</row>
    <row r="517"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</row>
    <row r="518"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</row>
    <row r="519"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</row>
    <row r="520"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</row>
    <row r="521"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</row>
    <row r="522"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</row>
    <row r="523"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</row>
    <row r="524"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</row>
    <row r="525"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</row>
    <row r="526"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</row>
    <row r="527"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</row>
    <row r="528"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</row>
    <row r="529"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</row>
    <row r="530"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</row>
    <row r="531"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</row>
    <row r="532"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</row>
    <row r="533"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</row>
    <row r="534"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</row>
    <row r="535"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</row>
    <row r="536"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</row>
    <row r="537"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</row>
    <row r="538"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</row>
    <row r="539"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</row>
    <row r="540"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</row>
    <row r="541"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</row>
    <row r="542"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</row>
    <row r="543"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</row>
    <row r="544"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</row>
    <row r="545"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</row>
    <row r="546"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</row>
    <row r="547"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</row>
    <row r="548"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</row>
    <row r="549"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</row>
    <row r="550"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</row>
    <row r="551"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</row>
    <row r="552"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</row>
    <row r="553"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</row>
    <row r="554"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</row>
    <row r="555"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</row>
    <row r="556"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</row>
    <row r="557"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</row>
    <row r="558"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</row>
    <row r="559"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</row>
    <row r="560"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</row>
    <row r="561"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</row>
    <row r="562"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</row>
    <row r="563"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</row>
    <row r="564"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</row>
    <row r="565"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</row>
    <row r="566"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</row>
    <row r="567"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</row>
    <row r="568"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</row>
    <row r="569"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</row>
    <row r="570"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</row>
    <row r="571"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</row>
    <row r="572"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</row>
    <row r="573"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</row>
    <row r="574"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</row>
    <row r="575"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</row>
    <row r="576"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</row>
    <row r="577"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</row>
    <row r="578"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</row>
    <row r="579"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</row>
    <row r="580"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</row>
    <row r="581"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</row>
    <row r="582"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</row>
    <row r="583"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</row>
    <row r="584"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</row>
    <row r="585"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</row>
    <row r="586"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</row>
    <row r="587"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</row>
    <row r="588"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</row>
    <row r="589"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</row>
    <row r="590"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</row>
    <row r="591"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</row>
    <row r="592"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</row>
    <row r="593"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</row>
    <row r="594"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</row>
    <row r="595"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</row>
    <row r="596"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</row>
    <row r="597"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</row>
    <row r="598"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</row>
    <row r="599"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</row>
    <row r="600"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</row>
    <row r="601"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</row>
    <row r="602"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</row>
    <row r="603"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</row>
    <row r="604"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</row>
    <row r="605"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</row>
    <row r="606"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</row>
    <row r="607"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</row>
    <row r="608"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</row>
    <row r="609"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</row>
    <row r="610"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</row>
    <row r="611"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</row>
    <row r="612"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</row>
    <row r="613"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</row>
    <row r="614"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</row>
    <row r="615"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</row>
    <row r="616"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</row>
    <row r="617"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</row>
    <row r="618"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</row>
    <row r="619"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</row>
    <row r="620"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</row>
    <row r="621"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</row>
    <row r="622"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</row>
    <row r="623"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</row>
    <row r="624"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</row>
    <row r="625"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</row>
    <row r="626"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</row>
    <row r="627"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</row>
    <row r="628"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</row>
    <row r="629"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</row>
    <row r="630"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</row>
    <row r="631"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</row>
    <row r="632"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</row>
    <row r="633"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</row>
    <row r="634"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</row>
    <row r="635"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</row>
    <row r="636"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</row>
    <row r="637"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</row>
    <row r="638"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</row>
    <row r="639"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</row>
    <row r="640"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</row>
    <row r="641"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</row>
    <row r="642"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</row>
    <row r="643"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</row>
    <row r="644"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</row>
    <row r="645"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</row>
    <row r="646"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</row>
    <row r="647"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</row>
    <row r="648"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</row>
    <row r="649"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</row>
    <row r="650"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</row>
    <row r="651"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</row>
    <row r="652"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</row>
    <row r="653"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</row>
    <row r="654"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</row>
    <row r="655"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</row>
    <row r="656"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</row>
    <row r="657"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</row>
    <row r="658"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</row>
    <row r="659"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</row>
    <row r="660"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</row>
    <row r="661"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</row>
    <row r="662"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</row>
    <row r="663"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</row>
    <row r="664"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</row>
    <row r="665"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</row>
    <row r="666"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</row>
    <row r="667"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</row>
    <row r="668"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</row>
    <row r="669"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</row>
    <row r="670"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</row>
    <row r="671"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</row>
    <row r="672"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</row>
    <row r="673"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</row>
    <row r="674"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</row>
    <row r="675"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</row>
    <row r="676"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</row>
    <row r="677"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</row>
    <row r="678"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</row>
    <row r="679"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</row>
    <row r="680"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</row>
    <row r="681"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</row>
    <row r="682"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</row>
    <row r="683"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</row>
    <row r="684"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</row>
    <row r="685"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</row>
    <row r="686"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</row>
    <row r="687"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</row>
    <row r="688"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</row>
    <row r="689"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</row>
    <row r="690"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</row>
    <row r="691"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</row>
    <row r="692"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</row>
    <row r="693"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</row>
    <row r="694"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</row>
    <row r="695"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</row>
    <row r="696"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</row>
    <row r="697"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</row>
    <row r="698"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</row>
    <row r="699"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</row>
    <row r="700"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</row>
    <row r="701"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</row>
    <row r="702"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</row>
    <row r="703"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</row>
    <row r="704"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</row>
    <row r="705"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</row>
    <row r="706"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</row>
    <row r="707"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</row>
    <row r="708"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</row>
    <row r="709"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</row>
    <row r="710"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</row>
    <row r="711"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</row>
    <row r="712"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</row>
    <row r="713"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</row>
    <row r="714"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</row>
    <row r="715"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</row>
    <row r="716"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</row>
    <row r="717"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</row>
    <row r="718"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</row>
    <row r="719"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</row>
    <row r="720"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</row>
    <row r="721"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</row>
    <row r="722"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</row>
    <row r="723"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</row>
    <row r="724"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</row>
    <row r="725"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</row>
    <row r="726"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</row>
    <row r="727"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</row>
    <row r="728"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</row>
    <row r="729"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</row>
    <row r="730"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</row>
    <row r="731"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</row>
    <row r="732"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</row>
    <row r="733"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</row>
    <row r="734"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</row>
    <row r="735"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</row>
    <row r="736"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</row>
    <row r="737"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</row>
    <row r="738"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</row>
    <row r="739"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</row>
    <row r="740"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</row>
    <row r="741"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</row>
    <row r="742"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</row>
    <row r="743"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</row>
    <row r="744"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</row>
    <row r="745"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</row>
    <row r="746"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</row>
    <row r="747"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</row>
    <row r="748"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</row>
    <row r="749"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</row>
    <row r="750"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</row>
    <row r="751"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</row>
    <row r="752"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</row>
    <row r="753"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</row>
    <row r="754"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</row>
    <row r="755"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</row>
    <row r="756"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</row>
    <row r="757"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</row>
    <row r="758"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</row>
    <row r="759"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</row>
    <row r="760"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</row>
    <row r="761"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</row>
    <row r="762"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</row>
    <row r="763"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</row>
    <row r="764"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</row>
    <row r="765"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</row>
    <row r="766"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</row>
    <row r="767"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</row>
    <row r="768"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</row>
    <row r="769"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</row>
    <row r="770"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</row>
    <row r="771"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</row>
    <row r="772"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</row>
    <row r="773"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</row>
    <row r="774"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</row>
    <row r="775"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</row>
    <row r="776"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</row>
    <row r="777"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</row>
    <row r="778"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</row>
    <row r="779"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</row>
    <row r="780"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</row>
    <row r="781"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</row>
    <row r="782"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</row>
    <row r="783"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</row>
    <row r="784"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</row>
    <row r="785"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</row>
    <row r="786"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</row>
    <row r="787"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</row>
    <row r="788"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</row>
    <row r="789"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</row>
    <row r="790"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</row>
    <row r="791"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</row>
    <row r="792"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</row>
    <row r="793"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</row>
    <row r="794"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</row>
    <row r="795"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</row>
    <row r="796"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</row>
    <row r="797"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</row>
    <row r="798"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</row>
    <row r="799"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</row>
    <row r="800"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</row>
    <row r="801"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</row>
    <row r="802"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</row>
    <row r="803"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</row>
    <row r="804"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</row>
    <row r="805"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</row>
    <row r="806"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</row>
    <row r="807"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</row>
    <row r="808"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</row>
    <row r="809"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</row>
    <row r="810"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</row>
    <row r="811"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</row>
    <row r="812"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</row>
    <row r="813"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</row>
    <row r="814"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</row>
    <row r="815"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</row>
    <row r="816"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</row>
    <row r="817"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</row>
    <row r="818"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</row>
    <row r="819"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</row>
    <row r="820"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</row>
    <row r="821"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</row>
    <row r="822"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</row>
    <row r="823"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</row>
    <row r="824"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</row>
    <row r="825"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</row>
    <row r="826"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</row>
    <row r="827"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</row>
    <row r="828"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</row>
    <row r="829"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</row>
    <row r="830"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</row>
    <row r="831"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</row>
    <row r="832"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</row>
    <row r="833"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</row>
    <row r="834"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</row>
    <row r="835"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</row>
    <row r="836"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</row>
    <row r="837"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</row>
    <row r="838"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</row>
    <row r="839"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</row>
    <row r="840"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</row>
    <row r="841"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</row>
    <row r="842"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</row>
    <row r="843"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</row>
    <row r="844"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</row>
    <row r="845"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</row>
    <row r="846"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</row>
    <row r="847"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</row>
    <row r="848"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</row>
    <row r="849"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</row>
    <row r="850"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</row>
    <row r="851"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</row>
    <row r="852"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</row>
    <row r="853"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</row>
    <row r="854"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</row>
    <row r="855"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</row>
    <row r="856"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</row>
    <row r="857"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</row>
    <row r="858"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</row>
    <row r="859"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</row>
    <row r="860"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</row>
    <row r="861"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</row>
    <row r="862"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</row>
    <row r="863"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</row>
    <row r="864"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</row>
    <row r="865"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</row>
    <row r="866"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</row>
    <row r="867"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</row>
    <row r="868"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</row>
    <row r="869"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</row>
    <row r="870"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</row>
    <row r="871"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</row>
    <row r="872"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</row>
    <row r="873"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</row>
    <row r="874"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</row>
    <row r="875"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</row>
    <row r="876"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</row>
    <row r="877"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</row>
    <row r="878"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</row>
    <row r="879"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</row>
    <row r="880"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</row>
    <row r="881"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</row>
    <row r="882"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</row>
    <row r="883"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</row>
    <row r="884"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</row>
    <row r="885"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</row>
    <row r="886"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</row>
    <row r="887"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</row>
    <row r="888"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</row>
    <row r="889"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</row>
    <row r="890"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</row>
    <row r="891"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</row>
    <row r="892"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</row>
    <row r="893"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</row>
    <row r="894"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</row>
    <row r="895"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</row>
    <row r="896"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</row>
    <row r="897"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</row>
    <row r="898"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</row>
    <row r="899"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</row>
    <row r="900"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</row>
    <row r="901"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</row>
    <row r="902"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</row>
    <row r="903"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</row>
    <row r="904"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</row>
    <row r="905"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</row>
    <row r="906"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</row>
    <row r="907"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</row>
    <row r="908"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</row>
    <row r="909"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</row>
    <row r="910"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</row>
    <row r="911"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</row>
    <row r="912"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</row>
    <row r="913"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</row>
    <row r="914"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</row>
    <row r="915"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</row>
    <row r="916"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</row>
    <row r="917"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</row>
    <row r="918"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</row>
    <row r="919"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</row>
    <row r="920"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</row>
    <row r="921"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</row>
    <row r="922"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</row>
    <row r="923"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</row>
    <row r="924"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</row>
    <row r="925"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</row>
    <row r="926"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</row>
    <row r="927"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</row>
    <row r="928"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</row>
    <row r="929"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</row>
    <row r="930"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</row>
    <row r="931"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</row>
    <row r="932"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</row>
    <row r="933"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</row>
    <row r="934"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</row>
    <row r="935"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</row>
    <row r="936"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</row>
    <row r="937"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</row>
    <row r="938"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</row>
    <row r="939"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</row>
    <row r="940"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</row>
    <row r="941"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</row>
    <row r="942"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</row>
    <row r="943"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</row>
    <row r="944"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</row>
    <row r="945"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</row>
    <row r="946"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</row>
    <row r="947"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</row>
    <row r="948"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</row>
    <row r="949"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</row>
    <row r="950"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</row>
    <row r="951"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</row>
    <row r="952"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</row>
    <row r="953"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</row>
    <row r="954"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</row>
    <row r="955"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</row>
    <row r="956"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</row>
    <row r="957"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</row>
    <row r="958"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</row>
    <row r="959"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</row>
    <row r="960"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</row>
    <row r="961"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</row>
    <row r="962"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</row>
    <row r="963"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</row>
    <row r="964"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</row>
    <row r="965"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</row>
    <row r="966"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</row>
    <row r="967"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</row>
    <row r="968"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</row>
    <row r="969"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</row>
    <row r="970"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</row>
    <row r="971"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</row>
    <row r="972"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</row>
    <row r="973"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</row>
    <row r="974"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</row>
    <row r="975"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</row>
    <row r="976"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</row>
    <row r="977"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</row>
    <row r="978"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</row>
    <row r="979"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</row>
    <row r="980"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</row>
    <row r="981"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</row>
    <row r="982"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</row>
    <row r="983"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</row>
    <row r="984"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</row>
    <row r="985"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</row>
    <row r="986"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</row>
    <row r="987"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</row>
    <row r="988"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</row>
    <row r="989"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</row>
    <row r="990"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</row>
    <row r="991"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</row>
    <row r="992"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</row>
    <row r="993"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</row>
    <row r="994"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</row>
    <row r="995"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</row>
    <row r="996"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</row>
    <row r="997"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</row>
    <row r="998"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</row>
    <row r="999"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</row>
    <row r="1000"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</row>
    <row r="1001">
      <c r="AD1001" s="28"/>
      <c r="AE1001" s="28"/>
      <c r="AF1001" s="28"/>
      <c r="AG1001" s="28"/>
      <c r="AH1001" s="28"/>
      <c r="AI1001" s="28"/>
      <c r="AJ1001" s="28"/>
      <c r="AK1001" s="28"/>
      <c r="AL1001" s="28"/>
      <c r="AM1001" s="28"/>
      <c r="AN1001" s="28"/>
      <c r="AO1001" s="28"/>
      <c r="AP1001" s="28"/>
    </row>
    <row r="1002">
      <c r="AD1002" s="28"/>
      <c r="AE1002" s="28"/>
      <c r="AF1002" s="28"/>
      <c r="AG1002" s="28"/>
      <c r="AH1002" s="28"/>
      <c r="AI1002" s="28"/>
      <c r="AJ1002" s="28"/>
      <c r="AK1002" s="28"/>
      <c r="AL1002" s="28"/>
      <c r="AM1002" s="28"/>
      <c r="AN1002" s="28"/>
      <c r="AO1002" s="28"/>
      <c r="AP1002" s="28"/>
    </row>
  </sheetData>
  <mergeCells count="23">
    <mergeCell ref="O1:V1"/>
    <mergeCell ref="I1:N1"/>
    <mergeCell ref="W1:AC1"/>
    <mergeCell ref="AD1:AG1"/>
    <mergeCell ref="AM19:AP26"/>
    <mergeCell ref="AM18:AP18"/>
    <mergeCell ref="C5:I5"/>
    <mergeCell ref="A1:H3"/>
    <mergeCell ref="I2:N2"/>
    <mergeCell ref="A18:B18"/>
    <mergeCell ref="A19:B19"/>
    <mergeCell ref="A20:B20"/>
    <mergeCell ref="A5:B7"/>
    <mergeCell ref="A4:AG4"/>
    <mergeCell ref="I3:AG3"/>
    <mergeCell ref="J5:P5"/>
    <mergeCell ref="AE5:AK5"/>
    <mergeCell ref="AM5:AP6"/>
    <mergeCell ref="W2:AC2"/>
    <mergeCell ref="AD2:AG2"/>
    <mergeCell ref="O2:V2"/>
    <mergeCell ref="Q5:W5"/>
    <mergeCell ref="X5:AD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26.25"/>
    <col customWidth="1" min="3" max="22" width="4.13"/>
    <col customWidth="1" min="23" max="23" width="4.5"/>
    <col customWidth="1" min="24" max="35" width="4.13"/>
    <col customWidth="1" min="36" max="36" width="5.38"/>
    <col customWidth="1" min="37" max="37" width="3.75"/>
    <col customWidth="1" min="38" max="38" width="5.25"/>
    <col customWidth="1" min="39" max="39" width="4.5"/>
    <col customWidth="1" min="40" max="40" width="4.75"/>
    <col customWidth="1" min="41" max="41" width="6.88"/>
    <col customWidth="1" min="42" max="42" width="13.25"/>
  </cols>
  <sheetData>
    <row r="1" ht="36.75" customHeight="1">
      <c r="A1" s="1" t="s">
        <v>0</v>
      </c>
      <c r="I1" s="2" t="s">
        <v>1</v>
      </c>
      <c r="O1" s="2" t="s">
        <v>2</v>
      </c>
      <c r="W1" s="2" t="s">
        <v>3</v>
      </c>
      <c r="AD1" s="2" t="s">
        <v>4</v>
      </c>
      <c r="AH1" s="3"/>
      <c r="AI1" s="3"/>
      <c r="AJ1" s="3"/>
      <c r="AK1" s="3"/>
      <c r="AL1" s="3"/>
    </row>
    <row r="2">
      <c r="I2" s="2">
        <v>8.0</v>
      </c>
      <c r="O2" s="4">
        <f>COUNTIF(C8:AG12, TRUE)</f>
        <v>1</v>
      </c>
      <c r="W2" s="5" t="str">
        <f>IFERROR(__xludf.DUMMYFUNCTION("SPARKLINE(AD2, {""charttype"",""bar""; ""max"",1;""color1"",""green""; ""empty"",""zero""})"),"")</f>
        <v/>
      </c>
      <c r="X2" s="6"/>
      <c r="Y2" s="6"/>
      <c r="Z2" s="6"/>
      <c r="AA2" s="6"/>
      <c r="AB2" s="6"/>
      <c r="AC2" s="7"/>
      <c r="AD2" s="8">
        <f>SUM(O2) / (COUNTA(C8:AG8) * ROWS(C8:AG15))</f>
        <v>0.004032258065</v>
      </c>
      <c r="AH2" s="3"/>
      <c r="AI2" s="3"/>
      <c r="AJ2" s="3"/>
      <c r="AK2" s="3"/>
      <c r="AL2" s="3"/>
    </row>
    <row r="3">
      <c r="I3" s="9"/>
      <c r="AH3" s="3"/>
      <c r="AI3" s="3"/>
      <c r="AJ3" s="3"/>
      <c r="AK3" s="3"/>
      <c r="AL3" s="3"/>
    </row>
    <row r="4">
      <c r="A4" s="10"/>
      <c r="AH4" s="3"/>
      <c r="AI4" s="3"/>
      <c r="AJ4" s="3"/>
      <c r="AK4" s="3"/>
      <c r="AL4" s="3"/>
      <c r="AM4" s="3"/>
      <c r="AN4" s="3"/>
      <c r="AO4" s="3"/>
      <c r="AP4" s="3"/>
    </row>
    <row r="5">
      <c r="A5" s="11" t="s">
        <v>5</v>
      </c>
      <c r="C5" s="12" t="s">
        <v>6</v>
      </c>
      <c r="J5" s="11" t="s">
        <v>7</v>
      </c>
      <c r="Q5" s="12" t="s">
        <v>8</v>
      </c>
      <c r="X5" s="11" t="s">
        <v>9</v>
      </c>
      <c r="AE5" s="12" t="s">
        <v>10</v>
      </c>
      <c r="AM5" s="13" t="s">
        <v>11</v>
      </c>
    </row>
    <row r="6"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2" t="s">
        <v>17</v>
      </c>
      <c r="I6" s="12" t="s">
        <v>18</v>
      </c>
      <c r="J6" s="11" t="s">
        <v>12</v>
      </c>
      <c r="K6" s="11" t="s">
        <v>13</v>
      </c>
      <c r="L6" s="11" t="s">
        <v>14</v>
      </c>
      <c r="M6" s="11" t="s">
        <v>15</v>
      </c>
      <c r="N6" s="11" t="s">
        <v>16</v>
      </c>
      <c r="O6" s="11" t="s">
        <v>17</v>
      </c>
      <c r="P6" s="11" t="s">
        <v>18</v>
      </c>
      <c r="Q6" s="12" t="s">
        <v>12</v>
      </c>
      <c r="R6" s="12" t="s">
        <v>13</v>
      </c>
      <c r="S6" s="12" t="s">
        <v>14</v>
      </c>
      <c r="T6" s="12" t="s">
        <v>15</v>
      </c>
      <c r="U6" s="12" t="s">
        <v>16</v>
      </c>
      <c r="V6" s="12" t="s">
        <v>17</v>
      </c>
      <c r="W6" s="12" t="s">
        <v>18</v>
      </c>
      <c r="X6" s="11" t="s">
        <v>12</v>
      </c>
      <c r="Y6" s="11" t="s">
        <v>13</v>
      </c>
      <c r="Z6" s="11" t="s">
        <v>14</v>
      </c>
      <c r="AA6" s="11" t="s">
        <v>15</v>
      </c>
      <c r="AB6" s="11" t="s">
        <v>16</v>
      </c>
      <c r="AC6" s="11" t="s">
        <v>17</v>
      </c>
      <c r="AD6" s="11" t="s">
        <v>18</v>
      </c>
      <c r="AE6" s="12" t="s">
        <v>12</v>
      </c>
      <c r="AF6" s="12" t="s">
        <v>13</v>
      </c>
      <c r="AG6" s="12" t="s">
        <v>14</v>
      </c>
      <c r="AH6" s="12" t="s">
        <v>15</v>
      </c>
      <c r="AI6" s="12" t="s">
        <v>16</v>
      </c>
      <c r="AJ6" s="12" t="s">
        <v>17</v>
      </c>
      <c r="AK6" s="12" t="s">
        <v>18</v>
      </c>
      <c r="AL6" s="3"/>
    </row>
    <row r="7">
      <c r="C7" s="12">
        <v>28.0</v>
      </c>
      <c r="D7" s="12">
        <v>29.0</v>
      </c>
      <c r="E7" s="12">
        <v>30.0</v>
      </c>
      <c r="F7" s="12">
        <v>1.0</v>
      </c>
      <c r="G7" s="12">
        <v>2.0</v>
      </c>
      <c r="H7" s="12">
        <v>3.0</v>
      </c>
      <c r="I7" s="12">
        <v>4.0</v>
      </c>
      <c r="J7" s="11">
        <v>5.0</v>
      </c>
      <c r="K7" s="11">
        <v>6.0</v>
      </c>
      <c r="L7" s="11">
        <v>7.0</v>
      </c>
      <c r="M7" s="11">
        <v>8.0</v>
      </c>
      <c r="N7" s="11">
        <v>9.0</v>
      </c>
      <c r="O7" s="11">
        <v>10.0</v>
      </c>
      <c r="P7" s="11">
        <v>11.0</v>
      </c>
      <c r="Q7" s="12">
        <v>12.0</v>
      </c>
      <c r="R7" s="12">
        <v>13.0</v>
      </c>
      <c r="S7" s="12">
        <v>14.0</v>
      </c>
      <c r="T7" s="12">
        <v>15.0</v>
      </c>
      <c r="U7" s="12">
        <v>16.0</v>
      </c>
      <c r="V7" s="12">
        <v>17.0</v>
      </c>
      <c r="W7" s="12">
        <v>18.0</v>
      </c>
      <c r="X7" s="11">
        <v>19.0</v>
      </c>
      <c r="Y7" s="11">
        <v>20.0</v>
      </c>
      <c r="Z7" s="11">
        <v>21.0</v>
      </c>
      <c r="AA7" s="11">
        <v>22.0</v>
      </c>
      <c r="AB7" s="11">
        <v>23.0</v>
      </c>
      <c r="AC7" s="11">
        <v>24.0</v>
      </c>
      <c r="AD7" s="11">
        <v>25.0</v>
      </c>
      <c r="AE7" s="12">
        <v>26.0</v>
      </c>
      <c r="AF7" s="12">
        <v>27.0</v>
      </c>
      <c r="AG7" s="12">
        <v>28.0</v>
      </c>
      <c r="AH7" s="12">
        <v>29.0</v>
      </c>
      <c r="AI7" s="12">
        <v>30.0</v>
      </c>
      <c r="AJ7" s="12">
        <v>31.0</v>
      </c>
      <c r="AK7" s="12">
        <v>1.0</v>
      </c>
      <c r="AL7" s="3"/>
      <c r="AM7" s="14" t="s">
        <v>19</v>
      </c>
      <c r="AN7" s="14" t="s">
        <v>20</v>
      </c>
      <c r="AO7" s="14" t="s">
        <v>21</v>
      </c>
      <c r="AP7" s="14" t="s">
        <v>3</v>
      </c>
    </row>
    <row r="8">
      <c r="A8" s="15">
        <v>1.0</v>
      </c>
      <c r="B8" s="15" t="s">
        <v>22</v>
      </c>
      <c r="C8" s="16" t="b">
        <v>1</v>
      </c>
      <c r="D8" s="16" t="b">
        <v>0</v>
      </c>
      <c r="E8" s="16" t="b">
        <v>0</v>
      </c>
      <c r="F8" s="16" t="b">
        <v>0</v>
      </c>
      <c r="G8" s="16" t="b">
        <v>0</v>
      </c>
      <c r="H8" s="16" t="b">
        <v>0</v>
      </c>
      <c r="I8" s="16" t="b">
        <v>0</v>
      </c>
      <c r="J8" s="17" t="b">
        <v>0</v>
      </c>
      <c r="K8" s="17" t="b">
        <v>0</v>
      </c>
      <c r="L8" s="17" t="b">
        <v>0</v>
      </c>
      <c r="M8" s="17" t="b">
        <v>0</v>
      </c>
      <c r="N8" s="17" t="b">
        <v>0</v>
      </c>
      <c r="O8" s="17" t="b">
        <v>0</v>
      </c>
      <c r="P8" s="17" t="b">
        <v>0</v>
      </c>
      <c r="Q8" s="16" t="b">
        <v>0</v>
      </c>
      <c r="R8" s="16" t="b">
        <v>0</v>
      </c>
      <c r="S8" s="16" t="b">
        <v>0</v>
      </c>
      <c r="T8" s="16" t="b">
        <v>0</v>
      </c>
      <c r="U8" s="16" t="b">
        <v>0</v>
      </c>
      <c r="V8" s="16" t="b">
        <v>0</v>
      </c>
      <c r="W8" s="16" t="b">
        <v>0</v>
      </c>
      <c r="X8" s="17" t="b">
        <v>0</v>
      </c>
      <c r="Y8" s="17" t="b">
        <v>0</v>
      </c>
      <c r="Z8" s="17" t="b">
        <v>0</v>
      </c>
      <c r="AA8" s="17" t="b">
        <v>0</v>
      </c>
      <c r="AB8" s="17" t="b">
        <v>0</v>
      </c>
      <c r="AC8" s="17" t="b">
        <v>0</v>
      </c>
      <c r="AD8" s="17" t="b">
        <v>0</v>
      </c>
      <c r="AE8" s="16" t="b">
        <v>0</v>
      </c>
      <c r="AF8" s="16" t="b">
        <v>0</v>
      </c>
      <c r="AG8" s="16" t="b">
        <v>0</v>
      </c>
      <c r="AH8" s="16" t="b">
        <v>0</v>
      </c>
      <c r="AI8" s="16" t="b">
        <v>0</v>
      </c>
      <c r="AJ8" s="16" t="b">
        <v>0</v>
      </c>
      <c r="AK8" s="16" t="b">
        <v>0</v>
      </c>
      <c r="AL8" s="3"/>
      <c r="AM8" s="18">
        <v>31.0</v>
      </c>
      <c r="AN8" s="18">
        <f t="shared" ref="AN8:AN15" si="1">COUNTIF(C8:AK8, TRUE)</f>
        <v>1</v>
      </c>
      <c r="AO8" s="19">
        <f t="shared" ref="AO8:AO15" si="2">SUM(AN8 / (COUNTA(C8:AK8) * ROWS(C8:AK8)))</f>
        <v>0.02857142857</v>
      </c>
      <c r="AP8" s="20" t="str">
        <f>IFERROR(__xludf.DUMMYFUNCTION("SPARKLINE(AO8, {""charttype"",""bar""; ""max"",1;""color1"",""green""; ""empty"",""zero""})"),"")</f>
        <v/>
      </c>
    </row>
    <row r="9">
      <c r="A9" s="15">
        <v>2.0</v>
      </c>
      <c r="B9" s="15" t="s">
        <v>23</v>
      </c>
      <c r="C9" s="16" t="b">
        <v>0</v>
      </c>
      <c r="D9" s="21" t="b">
        <v>0</v>
      </c>
      <c r="E9" s="16" t="b">
        <v>0</v>
      </c>
      <c r="F9" s="21" t="b">
        <v>0</v>
      </c>
      <c r="G9" s="16" t="b">
        <v>0</v>
      </c>
      <c r="H9" s="21" t="b">
        <v>0</v>
      </c>
      <c r="I9" s="21" t="b">
        <v>0</v>
      </c>
      <c r="J9" s="22" t="b">
        <v>0</v>
      </c>
      <c r="K9" s="22" t="b">
        <v>0</v>
      </c>
      <c r="L9" s="22" t="b">
        <v>0</v>
      </c>
      <c r="M9" s="22" t="b">
        <v>0</v>
      </c>
      <c r="N9" s="22" t="b">
        <v>0</v>
      </c>
      <c r="O9" s="17" t="b">
        <v>0</v>
      </c>
      <c r="P9" s="17" t="b">
        <v>0</v>
      </c>
      <c r="Q9" s="21" t="b">
        <v>0</v>
      </c>
      <c r="R9" s="16" t="b">
        <v>0</v>
      </c>
      <c r="S9" s="16" t="b">
        <v>0</v>
      </c>
      <c r="T9" s="21" t="b">
        <v>0</v>
      </c>
      <c r="U9" s="16" t="b">
        <v>0</v>
      </c>
      <c r="V9" s="16" t="b">
        <v>0</v>
      </c>
      <c r="W9" s="21" t="b">
        <v>0</v>
      </c>
      <c r="X9" s="17" t="b">
        <v>0</v>
      </c>
      <c r="Y9" s="22" t="b">
        <v>0</v>
      </c>
      <c r="Z9" s="22" t="b">
        <v>0</v>
      </c>
      <c r="AA9" s="22" t="b">
        <v>0</v>
      </c>
      <c r="AB9" s="22" t="b">
        <v>0</v>
      </c>
      <c r="AC9" s="22" t="b">
        <v>0</v>
      </c>
      <c r="AD9" s="22" t="b">
        <v>0</v>
      </c>
      <c r="AE9" s="21" t="b">
        <v>0</v>
      </c>
      <c r="AF9" s="21" t="b">
        <v>0</v>
      </c>
      <c r="AG9" s="21" t="b">
        <v>0</v>
      </c>
      <c r="AH9" s="21" t="b">
        <v>0</v>
      </c>
      <c r="AI9" s="21" t="b">
        <v>0</v>
      </c>
      <c r="AJ9" s="16" t="b">
        <v>0</v>
      </c>
      <c r="AK9" s="21" t="b">
        <v>0</v>
      </c>
      <c r="AL9" s="3"/>
      <c r="AM9" s="18">
        <v>31.0</v>
      </c>
      <c r="AN9" s="18">
        <f t="shared" si="1"/>
        <v>0</v>
      </c>
      <c r="AO9" s="19">
        <f t="shared" si="2"/>
        <v>0</v>
      </c>
      <c r="AP9" s="20" t="str">
        <f>IFERROR(__xludf.DUMMYFUNCTION("SPARKLINE(AO9, {""charttype"",""bar""; ""max"",1;""color1"",""green""; ""empty"",""zero""})"),"")</f>
        <v/>
      </c>
    </row>
    <row r="10">
      <c r="A10" s="15">
        <v>3.0</v>
      </c>
      <c r="B10" s="15" t="s">
        <v>24</v>
      </c>
      <c r="C10" s="16" t="b">
        <v>0</v>
      </c>
      <c r="D10" s="21" t="b">
        <v>0</v>
      </c>
      <c r="E10" s="16" t="b">
        <v>0</v>
      </c>
      <c r="F10" s="21" t="b">
        <v>0</v>
      </c>
      <c r="G10" s="16" t="b">
        <v>0</v>
      </c>
      <c r="H10" s="21" t="b">
        <v>0</v>
      </c>
      <c r="I10" s="16" t="b">
        <v>0</v>
      </c>
      <c r="J10" s="22" t="b">
        <v>0</v>
      </c>
      <c r="K10" s="22" t="b">
        <v>0</v>
      </c>
      <c r="L10" s="22" t="b">
        <v>0</v>
      </c>
      <c r="M10" s="22" t="b">
        <v>0</v>
      </c>
      <c r="N10" s="22" t="b">
        <v>0</v>
      </c>
      <c r="O10" s="22" t="b">
        <v>0</v>
      </c>
      <c r="P10" s="17" t="b">
        <v>0</v>
      </c>
      <c r="Q10" s="21" t="b">
        <v>0</v>
      </c>
      <c r="R10" s="21" t="b">
        <v>0</v>
      </c>
      <c r="S10" s="16" t="b">
        <v>0</v>
      </c>
      <c r="T10" s="21" t="b">
        <v>0</v>
      </c>
      <c r="U10" s="16" t="b">
        <v>0</v>
      </c>
      <c r="V10" s="16" t="b">
        <v>0</v>
      </c>
      <c r="W10" s="21" t="b">
        <v>0</v>
      </c>
      <c r="X10" s="17" t="b">
        <v>0</v>
      </c>
      <c r="Y10" s="22" t="b">
        <v>0</v>
      </c>
      <c r="Z10" s="22" t="b">
        <v>0</v>
      </c>
      <c r="AA10" s="22" t="b">
        <v>0</v>
      </c>
      <c r="AB10" s="22" t="b">
        <v>0</v>
      </c>
      <c r="AC10" s="22" t="b">
        <v>0</v>
      </c>
      <c r="AD10" s="22" t="b">
        <v>0</v>
      </c>
      <c r="AE10" s="21" t="b">
        <v>0</v>
      </c>
      <c r="AF10" s="21" t="b">
        <v>0</v>
      </c>
      <c r="AG10" s="21" t="b">
        <v>0</v>
      </c>
      <c r="AH10" s="21" t="b">
        <v>0</v>
      </c>
      <c r="AI10" s="16" t="b">
        <v>0</v>
      </c>
      <c r="AJ10" s="16" t="b">
        <v>0</v>
      </c>
      <c r="AK10" s="21" t="b">
        <v>0</v>
      </c>
      <c r="AM10" s="18">
        <v>31.0</v>
      </c>
      <c r="AN10" s="18">
        <f t="shared" si="1"/>
        <v>0</v>
      </c>
      <c r="AO10" s="19">
        <f t="shared" si="2"/>
        <v>0</v>
      </c>
      <c r="AP10" s="20" t="str">
        <f>IFERROR(__xludf.DUMMYFUNCTION("SPARKLINE(AO10, {""charttype"",""bar""; ""max"",1;""color1"",""green""; ""empty"",""zero""})"),"")</f>
        <v/>
      </c>
    </row>
    <row r="11">
      <c r="A11" s="15">
        <v>4.0</v>
      </c>
      <c r="B11" s="15" t="s">
        <v>25</v>
      </c>
      <c r="C11" s="16" t="b">
        <v>0</v>
      </c>
      <c r="D11" s="16" t="b">
        <v>0</v>
      </c>
      <c r="E11" s="16" t="b">
        <v>0</v>
      </c>
      <c r="F11" s="16" t="b">
        <v>0</v>
      </c>
      <c r="G11" s="16" t="b">
        <v>0</v>
      </c>
      <c r="H11" s="16" t="b">
        <v>0</v>
      </c>
      <c r="I11" s="16" t="b">
        <v>0</v>
      </c>
      <c r="J11" s="22" t="b">
        <v>0</v>
      </c>
      <c r="K11" s="22" t="b">
        <v>0</v>
      </c>
      <c r="L11" s="22" t="b">
        <v>0</v>
      </c>
      <c r="M11" s="22" t="b">
        <v>0</v>
      </c>
      <c r="N11" s="17" t="b">
        <v>0</v>
      </c>
      <c r="O11" s="22" t="b">
        <v>0</v>
      </c>
      <c r="P11" s="22" t="b">
        <v>0</v>
      </c>
      <c r="Q11" s="21" t="b">
        <v>0</v>
      </c>
      <c r="R11" s="16" t="b">
        <v>0</v>
      </c>
      <c r="S11" s="16" t="b">
        <v>0</v>
      </c>
      <c r="T11" s="21" t="b">
        <v>0</v>
      </c>
      <c r="U11" s="16" t="b">
        <v>0</v>
      </c>
      <c r="V11" s="16" t="b">
        <v>0</v>
      </c>
      <c r="W11" s="21" t="b">
        <v>0</v>
      </c>
      <c r="X11" s="17" t="b">
        <v>0</v>
      </c>
      <c r="Y11" s="22" t="b">
        <v>0</v>
      </c>
      <c r="Z11" s="22" t="b">
        <v>0</v>
      </c>
      <c r="AA11" s="22" t="b">
        <v>0</v>
      </c>
      <c r="AB11" s="22" t="b">
        <v>0</v>
      </c>
      <c r="AC11" s="22" t="b">
        <v>0</v>
      </c>
      <c r="AD11" s="22" t="b">
        <v>0</v>
      </c>
      <c r="AE11" s="21" t="b">
        <v>0</v>
      </c>
      <c r="AF11" s="21" t="b">
        <v>0</v>
      </c>
      <c r="AG11" s="21" t="b">
        <v>0</v>
      </c>
      <c r="AH11" s="21" t="b">
        <v>0</v>
      </c>
      <c r="AI11" s="16" t="b">
        <v>0</v>
      </c>
      <c r="AJ11" s="21" t="b">
        <v>0</v>
      </c>
      <c r="AK11" s="21" t="b">
        <v>0</v>
      </c>
      <c r="AM11" s="18">
        <v>31.0</v>
      </c>
      <c r="AN11" s="18">
        <f t="shared" si="1"/>
        <v>0</v>
      </c>
      <c r="AO11" s="19">
        <f t="shared" si="2"/>
        <v>0</v>
      </c>
      <c r="AP11" s="20" t="str">
        <f>IFERROR(__xludf.DUMMYFUNCTION("SPARKLINE(AO11, {""charttype"",""bar""; ""max"",1;""color1"",""green""; ""empty"",""zero""})"),"")</f>
        <v/>
      </c>
    </row>
    <row r="12">
      <c r="A12" s="15">
        <v>5.0</v>
      </c>
      <c r="B12" s="15" t="s">
        <v>26</v>
      </c>
      <c r="C12" s="16" t="b">
        <v>0</v>
      </c>
      <c r="D12" s="16" t="b">
        <v>0</v>
      </c>
      <c r="E12" s="21" t="b">
        <v>0</v>
      </c>
      <c r="F12" s="21" t="b">
        <v>0</v>
      </c>
      <c r="G12" s="16" t="b">
        <v>0</v>
      </c>
      <c r="H12" s="16" t="b">
        <v>0</v>
      </c>
      <c r="I12" s="16" t="b">
        <v>0</v>
      </c>
      <c r="J12" s="22" t="b">
        <v>0</v>
      </c>
      <c r="K12" s="22" t="b">
        <v>0</v>
      </c>
      <c r="L12" s="17" t="b">
        <v>0</v>
      </c>
      <c r="M12" s="17" t="b">
        <v>0</v>
      </c>
      <c r="N12" s="17" t="b">
        <v>0</v>
      </c>
      <c r="O12" s="22" t="b">
        <v>0</v>
      </c>
      <c r="P12" s="22" t="b">
        <v>0</v>
      </c>
      <c r="Q12" s="16" t="b">
        <v>0</v>
      </c>
      <c r="R12" s="16" t="b">
        <v>0</v>
      </c>
      <c r="S12" s="21" t="b">
        <v>0</v>
      </c>
      <c r="T12" s="21" t="b">
        <v>0</v>
      </c>
      <c r="U12" s="16" t="b">
        <v>0</v>
      </c>
      <c r="V12" s="16" t="b">
        <v>0</v>
      </c>
      <c r="W12" s="21" t="b">
        <v>0</v>
      </c>
      <c r="X12" s="17" t="b">
        <v>0</v>
      </c>
      <c r="Y12" s="22" t="b">
        <v>0</v>
      </c>
      <c r="Z12" s="22" t="b">
        <v>0</v>
      </c>
      <c r="AA12" s="22" t="b">
        <v>0</v>
      </c>
      <c r="AB12" s="22" t="b">
        <v>0</v>
      </c>
      <c r="AC12" s="22" t="b">
        <v>0</v>
      </c>
      <c r="AD12" s="22" t="b">
        <v>0</v>
      </c>
      <c r="AE12" s="21" t="b">
        <v>0</v>
      </c>
      <c r="AF12" s="21" t="b">
        <v>0</v>
      </c>
      <c r="AG12" s="21" t="b">
        <v>0</v>
      </c>
      <c r="AH12" s="21" t="b">
        <v>0</v>
      </c>
      <c r="AI12" s="21" t="b">
        <v>0</v>
      </c>
      <c r="AJ12" s="21" t="b">
        <v>0</v>
      </c>
      <c r="AK12" s="21" t="b">
        <v>0</v>
      </c>
      <c r="AM12" s="18">
        <v>31.0</v>
      </c>
      <c r="AN12" s="18">
        <f t="shared" si="1"/>
        <v>0</v>
      </c>
      <c r="AO12" s="19">
        <f t="shared" si="2"/>
        <v>0</v>
      </c>
      <c r="AP12" s="20" t="str">
        <f>IFERROR(__xludf.DUMMYFUNCTION("SPARKLINE(AO12, {""charttype"",""bar""; ""max"",1;""color1"",""green""; ""empty"",""zero""})"),"")</f>
        <v/>
      </c>
    </row>
    <row r="13">
      <c r="A13" s="15">
        <v>6.0</v>
      </c>
      <c r="B13" s="15" t="s">
        <v>27</v>
      </c>
      <c r="C13" s="16" t="b">
        <v>0</v>
      </c>
      <c r="D13" s="21" t="b">
        <v>0</v>
      </c>
      <c r="E13" s="21" t="b">
        <v>0</v>
      </c>
      <c r="F13" s="21" t="b">
        <v>0</v>
      </c>
      <c r="G13" s="21" t="b">
        <v>0</v>
      </c>
      <c r="H13" s="21" t="b">
        <v>0</v>
      </c>
      <c r="I13" s="16" t="b">
        <v>0</v>
      </c>
      <c r="J13" s="17" t="b">
        <v>0</v>
      </c>
      <c r="K13" s="22" t="b">
        <v>0</v>
      </c>
      <c r="L13" s="22" t="b">
        <v>0</v>
      </c>
      <c r="M13" s="22" t="b">
        <v>0</v>
      </c>
      <c r="N13" s="17" t="b">
        <v>0</v>
      </c>
      <c r="O13" s="22" t="b">
        <v>0</v>
      </c>
      <c r="P13" s="22" t="b">
        <v>0</v>
      </c>
      <c r="Q13" s="21" t="b">
        <v>0</v>
      </c>
      <c r="R13" s="16" t="b">
        <v>0</v>
      </c>
      <c r="S13" s="21" t="b">
        <v>0</v>
      </c>
      <c r="T13" s="21" t="b">
        <v>0</v>
      </c>
      <c r="U13" s="16" t="b">
        <v>0</v>
      </c>
      <c r="V13" s="16" t="b">
        <v>0</v>
      </c>
      <c r="W13" s="21" t="b">
        <v>0</v>
      </c>
      <c r="X13" s="17" t="b">
        <v>0</v>
      </c>
      <c r="Y13" s="22" t="b">
        <v>0</v>
      </c>
      <c r="Z13" s="22" t="b">
        <v>0</v>
      </c>
      <c r="AA13" s="22" t="b">
        <v>0</v>
      </c>
      <c r="AB13" s="22" t="b">
        <v>0</v>
      </c>
      <c r="AC13" s="17" t="b">
        <v>0</v>
      </c>
      <c r="AD13" s="22" t="b">
        <v>0</v>
      </c>
      <c r="AE13" s="21" t="b">
        <v>0</v>
      </c>
      <c r="AF13" s="21" t="b">
        <v>0</v>
      </c>
      <c r="AG13" s="21" t="b">
        <v>0</v>
      </c>
      <c r="AH13" s="21" t="b">
        <v>0</v>
      </c>
      <c r="AI13" s="21" t="b">
        <v>0</v>
      </c>
      <c r="AJ13" s="21" t="b">
        <v>0</v>
      </c>
      <c r="AK13" s="21" t="b">
        <v>0</v>
      </c>
      <c r="AM13" s="18">
        <v>31.0</v>
      </c>
      <c r="AN13" s="18">
        <f t="shared" si="1"/>
        <v>0</v>
      </c>
      <c r="AO13" s="19">
        <f t="shared" si="2"/>
        <v>0</v>
      </c>
      <c r="AP13" s="20" t="str">
        <f>IFERROR(__xludf.DUMMYFUNCTION("SPARKLINE(AO13, {""charttype"",""bar""; ""max"",1;""color1"",""green""; ""empty"",""zero""})"),"")</f>
        <v/>
      </c>
    </row>
    <row r="14">
      <c r="A14" s="15">
        <v>7.0</v>
      </c>
      <c r="B14" s="15" t="s">
        <v>28</v>
      </c>
      <c r="C14" s="16" t="b">
        <v>0</v>
      </c>
      <c r="D14" s="16" t="b">
        <v>0</v>
      </c>
      <c r="E14" s="21" t="b">
        <v>0</v>
      </c>
      <c r="F14" s="21" t="b">
        <v>0</v>
      </c>
      <c r="G14" s="16" t="b">
        <v>0</v>
      </c>
      <c r="H14" s="21" t="b">
        <v>0</v>
      </c>
      <c r="I14" s="21" t="b">
        <v>0</v>
      </c>
      <c r="J14" s="17" t="b">
        <v>0</v>
      </c>
      <c r="K14" s="22" t="b">
        <v>0</v>
      </c>
      <c r="L14" s="17" t="b">
        <v>0</v>
      </c>
      <c r="M14" s="17" t="b">
        <v>0</v>
      </c>
      <c r="N14" s="22" t="b">
        <v>0</v>
      </c>
      <c r="O14" s="22" t="b">
        <v>0</v>
      </c>
      <c r="P14" s="22" t="b">
        <v>0</v>
      </c>
      <c r="Q14" s="21" t="b">
        <v>0</v>
      </c>
      <c r="R14" s="16" t="b">
        <v>0</v>
      </c>
      <c r="S14" s="21" t="b">
        <v>0</v>
      </c>
      <c r="T14" s="21" t="b">
        <v>0</v>
      </c>
      <c r="U14" s="16" t="b">
        <v>0</v>
      </c>
      <c r="V14" s="16" t="b">
        <v>0</v>
      </c>
      <c r="W14" s="21" t="b">
        <v>0</v>
      </c>
      <c r="X14" s="17" t="b">
        <v>0</v>
      </c>
      <c r="Y14" s="22" t="b">
        <v>0</v>
      </c>
      <c r="Z14" s="22" t="b">
        <v>0</v>
      </c>
      <c r="AA14" s="22" t="b">
        <v>0</v>
      </c>
      <c r="AB14" s="22" t="b">
        <v>0</v>
      </c>
      <c r="AC14" s="17" t="b">
        <v>0</v>
      </c>
      <c r="AD14" s="22" t="b">
        <v>0</v>
      </c>
      <c r="AE14" s="21" t="b">
        <v>0</v>
      </c>
      <c r="AF14" s="21" t="b">
        <v>0</v>
      </c>
      <c r="AG14" s="16" t="b">
        <v>0</v>
      </c>
      <c r="AH14" s="21" t="b">
        <v>0</v>
      </c>
      <c r="AI14" s="21" t="b">
        <v>0</v>
      </c>
      <c r="AJ14" s="21" t="b">
        <v>0</v>
      </c>
      <c r="AK14" s="16" t="b">
        <v>0</v>
      </c>
      <c r="AM14" s="18">
        <v>31.0</v>
      </c>
      <c r="AN14" s="18">
        <f t="shared" si="1"/>
        <v>0</v>
      </c>
      <c r="AO14" s="19">
        <f t="shared" si="2"/>
        <v>0</v>
      </c>
      <c r="AP14" s="20" t="str">
        <f>IFERROR(__xludf.DUMMYFUNCTION("SPARKLINE(AO14, {""charttype"",""bar""; ""max"",1;""color1"",""green""; ""empty"",""zero""})"),"")</f>
        <v/>
      </c>
    </row>
    <row r="15">
      <c r="A15" s="15">
        <v>8.0</v>
      </c>
      <c r="B15" s="15" t="s">
        <v>29</v>
      </c>
      <c r="C15" s="16" t="b">
        <v>0</v>
      </c>
      <c r="D15" s="21" t="b">
        <v>0</v>
      </c>
      <c r="E15" s="21" t="b">
        <v>0</v>
      </c>
      <c r="F15" s="16" t="b">
        <v>0</v>
      </c>
      <c r="G15" s="21" t="b">
        <v>0</v>
      </c>
      <c r="H15" s="16" t="b">
        <v>0</v>
      </c>
      <c r="I15" s="21" t="b">
        <v>0</v>
      </c>
      <c r="J15" s="17" t="b">
        <v>0</v>
      </c>
      <c r="K15" s="22" t="b">
        <v>0</v>
      </c>
      <c r="L15" s="22" t="b">
        <v>0</v>
      </c>
      <c r="M15" s="17" t="b">
        <v>0</v>
      </c>
      <c r="N15" s="22" t="b">
        <v>0</v>
      </c>
      <c r="O15" s="22" t="b">
        <v>0</v>
      </c>
      <c r="P15" s="22" t="b">
        <v>0</v>
      </c>
      <c r="Q15" s="21" t="b">
        <v>0</v>
      </c>
      <c r="R15" s="16" t="b">
        <v>0</v>
      </c>
      <c r="S15" s="21" t="b">
        <v>0</v>
      </c>
      <c r="T15" s="21" t="b">
        <v>0</v>
      </c>
      <c r="U15" s="16" t="b">
        <v>0</v>
      </c>
      <c r="V15" s="16" t="b">
        <v>0</v>
      </c>
      <c r="W15" s="21" t="b">
        <v>0</v>
      </c>
      <c r="X15" s="17" t="b">
        <v>0</v>
      </c>
      <c r="Y15" s="22" t="b">
        <v>0</v>
      </c>
      <c r="Z15" s="22" t="b">
        <v>0</v>
      </c>
      <c r="AA15" s="22" t="b">
        <v>0</v>
      </c>
      <c r="AB15" s="22" t="b">
        <v>0</v>
      </c>
      <c r="AC15" s="17" t="b">
        <v>0</v>
      </c>
      <c r="AD15" s="22" t="b">
        <v>0</v>
      </c>
      <c r="AE15" s="21" t="b">
        <v>0</v>
      </c>
      <c r="AF15" s="21" t="b">
        <v>0</v>
      </c>
      <c r="AG15" s="16" t="b">
        <v>0</v>
      </c>
      <c r="AH15" s="21" t="b">
        <v>0</v>
      </c>
      <c r="AI15" s="21" t="b">
        <v>0</v>
      </c>
      <c r="AJ15" s="16" t="b">
        <v>0</v>
      </c>
      <c r="AK15" s="16" t="b">
        <v>0</v>
      </c>
      <c r="AM15" s="18">
        <v>31.0</v>
      </c>
      <c r="AN15" s="18">
        <f t="shared" si="1"/>
        <v>0</v>
      </c>
      <c r="AO15" s="19">
        <f t="shared" si="2"/>
        <v>0</v>
      </c>
      <c r="AP15" s="20" t="str">
        <f>IFERROR(__xludf.DUMMYFUNCTION("SPARKLINE(AO15, {""charttype"",""bar""; ""max"",1;""color1"",""green""; ""empty"",""zero""})"),"")</f>
        <v/>
      </c>
    </row>
    <row r="17">
      <c r="A17" s="23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>
      <c r="A18" s="15" t="s">
        <v>3</v>
      </c>
      <c r="C18" s="25">
        <f t="shared" ref="C18:AG18" si="3">IF(COUNTA(C8:C12)=0, 0, COUNTIF(C8:C12, TRUE)/COUNTA(C8:C12))</f>
        <v>0.2</v>
      </c>
      <c r="D18" s="25">
        <f t="shared" si="3"/>
        <v>0</v>
      </c>
      <c r="E18" s="25">
        <f t="shared" si="3"/>
        <v>0</v>
      </c>
      <c r="F18" s="25">
        <f t="shared" si="3"/>
        <v>0</v>
      </c>
      <c r="G18" s="25">
        <f t="shared" si="3"/>
        <v>0</v>
      </c>
      <c r="H18" s="25">
        <f t="shared" si="3"/>
        <v>0</v>
      </c>
      <c r="I18" s="25">
        <f t="shared" si="3"/>
        <v>0</v>
      </c>
      <c r="J18" s="25">
        <f t="shared" si="3"/>
        <v>0</v>
      </c>
      <c r="K18" s="25">
        <f t="shared" si="3"/>
        <v>0</v>
      </c>
      <c r="L18" s="25">
        <f t="shared" si="3"/>
        <v>0</v>
      </c>
      <c r="M18" s="25">
        <f t="shared" si="3"/>
        <v>0</v>
      </c>
      <c r="N18" s="25">
        <f t="shared" si="3"/>
        <v>0</v>
      </c>
      <c r="O18" s="25">
        <f t="shared" si="3"/>
        <v>0</v>
      </c>
      <c r="P18" s="25">
        <f t="shared" si="3"/>
        <v>0</v>
      </c>
      <c r="Q18" s="25">
        <f t="shared" si="3"/>
        <v>0</v>
      </c>
      <c r="R18" s="25">
        <f t="shared" si="3"/>
        <v>0</v>
      </c>
      <c r="S18" s="25">
        <f t="shared" si="3"/>
        <v>0</v>
      </c>
      <c r="T18" s="25">
        <f t="shared" si="3"/>
        <v>0</v>
      </c>
      <c r="U18" s="25">
        <f t="shared" si="3"/>
        <v>0</v>
      </c>
      <c r="V18" s="25">
        <f t="shared" si="3"/>
        <v>0</v>
      </c>
      <c r="W18" s="25">
        <f t="shared" si="3"/>
        <v>0</v>
      </c>
      <c r="X18" s="25">
        <f t="shared" si="3"/>
        <v>0</v>
      </c>
      <c r="Y18" s="25">
        <f t="shared" si="3"/>
        <v>0</v>
      </c>
      <c r="Z18" s="25">
        <f t="shared" si="3"/>
        <v>0</v>
      </c>
      <c r="AA18" s="25">
        <f t="shared" si="3"/>
        <v>0</v>
      </c>
      <c r="AB18" s="25">
        <f t="shared" si="3"/>
        <v>0</v>
      </c>
      <c r="AC18" s="25">
        <f t="shared" si="3"/>
        <v>0</v>
      </c>
      <c r="AD18" s="25">
        <f t="shared" si="3"/>
        <v>0</v>
      </c>
      <c r="AE18" s="25">
        <f t="shared" si="3"/>
        <v>0</v>
      </c>
      <c r="AF18" s="25">
        <f t="shared" si="3"/>
        <v>0</v>
      </c>
      <c r="AG18" s="25">
        <f t="shared" si="3"/>
        <v>0</v>
      </c>
      <c r="AH18" s="3"/>
      <c r="AI18" s="3"/>
      <c r="AJ18" s="3"/>
      <c r="AK18" s="3"/>
      <c r="AL18" s="3"/>
      <c r="AM18" s="11" t="s">
        <v>30</v>
      </c>
    </row>
    <row r="19">
      <c r="A19" s="15" t="s">
        <v>31</v>
      </c>
      <c r="C19" s="26">
        <f t="shared" ref="C19:AG19" si="4">COUNTIF(C8:C12, TRUE)</f>
        <v>1</v>
      </c>
      <c r="D19" s="26">
        <f t="shared" si="4"/>
        <v>0</v>
      </c>
      <c r="E19" s="26">
        <f t="shared" si="4"/>
        <v>0</v>
      </c>
      <c r="F19" s="26">
        <f t="shared" si="4"/>
        <v>0</v>
      </c>
      <c r="G19" s="26">
        <f t="shared" si="4"/>
        <v>0</v>
      </c>
      <c r="H19" s="26">
        <f t="shared" si="4"/>
        <v>0</v>
      </c>
      <c r="I19" s="26">
        <f t="shared" si="4"/>
        <v>0</v>
      </c>
      <c r="J19" s="26">
        <f t="shared" si="4"/>
        <v>0</v>
      </c>
      <c r="K19" s="26">
        <f t="shared" si="4"/>
        <v>0</v>
      </c>
      <c r="L19" s="26">
        <f t="shared" si="4"/>
        <v>0</v>
      </c>
      <c r="M19" s="26">
        <f t="shared" si="4"/>
        <v>0</v>
      </c>
      <c r="N19" s="26">
        <f t="shared" si="4"/>
        <v>0</v>
      </c>
      <c r="O19" s="26">
        <f t="shared" si="4"/>
        <v>0</v>
      </c>
      <c r="P19" s="26">
        <f t="shared" si="4"/>
        <v>0</v>
      </c>
      <c r="Q19" s="26">
        <f t="shared" si="4"/>
        <v>0</v>
      </c>
      <c r="R19" s="26">
        <f t="shared" si="4"/>
        <v>0</v>
      </c>
      <c r="S19" s="26">
        <f t="shared" si="4"/>
        <v>0</v>
      </c>
      <c r="T19" s="26">
        <f t="shared" si="4"/>
        <v>0</v>
      </c>
      <c r="U19" s="26">
        <f t="shared" si="4"/>
        <v>0</v>
      </c>
      <c r="V19" s="26">
        <f t="shared" si="4"/>
        <v>0</v>
      </c>
      <c r="W19" s="26">
        <f t="shared" si="4"/>
        <v>0</v>
      </c>
      <c r="X19" s="26">
        <f t="shared" si="4"/>
        <v>0</v>
      </c>
      <c r="Y19" s="26">
        <f t="shared" si="4"/>
        <v>0</v>
      </c>
      <c r="Z19" s="26">
        <f t="shared" si="4"/>
        <v>0</v>
      </c>
      <c r="AA19" s="26">
        <f t="shared" si="4"/>
        <v>0</v>
      </c>
      <c r="AB19" s="26">
        <f t="shared" si="4"/>
        <v>0</v>
      </c>
      <c r="AC19" s="26">
        <f t="shared" si="4"/>
        <v>0</v>
      </c>
      <c r="AD19" s="26">
        <f t="shared" si="4"/>
        <v>0</v>
      </c>
      <c r="AE19" s="26">
        <f t="shared" si="4"/>
        <v>0</v>
      </c>
      <c r="AF19" s="26">
        <f t="shared" si="4"/>
        <v>0</v>
      </c>
      <c r="AG19" s="26">
        <f t="shared" si="4"/>
        <v>0</v>
      </c>
      <c r="AH19" s="3"/>
      <c r="AI19" s="3"/>
      <c r="AJ19" s="3"/>
      <c r="AK19" s="3"/>
      <c r="AL19" s="3"/>
      <c r="AM19" s="27" t="s">
        <v>32</v>
      </c>
    </row>
    <row r="20">
      <c r="A20" s="15" t="s">
        <v>33</v>
      </c>
      <c r="C20" s="26">
        <f t="shared" ref="C20:AG20" si="5">COUNTIF(C8:C12, FALSE)</f>
        <v>4</v>
      </c>
      <c r="D20" s="26">
        <f t="shared" si="5"/>
        <v>5</v>
      </c>
      <c r="E20" s="26">
        <f t="shared" si="5"/>
        <v>5</v>
      </c>
      <c r="F20" s="26">
        <f t="shared" si="5"/>
        <v>5</v>
      </c>
      <c r="G20" s="26">
        <f t="shared" si="5"/>
        <v>5</v>
      </c>
      <c r="H20" s="26">
        <f t="shared" si="5"/>
        <v>5</v>
      </c>
      <c r="I20" s="26">
        <f t="shared" si="5"/>
        <v>5</v>
      </c>
      <c r="J20" s="26">
        <f t="shared" si="5"/>
        <v>5</v>
      </c>
      <c r="K20" s="26">
        <f t="shared" si="5"/>
        <v>5</v>
      </c>
      <c r="L20" s="26">
        <f t="shared" si="5"/>
        <v>5</v>
      </c>
      <c r="M20" s="26">
        <f t="shared" si="5"/>
        <v>5</v>
      </c>
      <c r="N20" s="26">
        <f t="shared" si="5"/>
        <v>5</v>
      </c>
      <c r="O20" s="26">
        <f t="shared" si="5"/>
        <v>5</v>
      </c>
      <c r="P20" s="26">
        <f t="shared" si="5"/>
        <v>5</v>
      </c>
      <c r="Q20" s="26">
        <f t="shared" si="5"/>
        <v>5</v>
      </c>
      <c r="R20" s="26">
        <f t="shared" si="5"/>
        <v>5</v>
      </c>
      <c r="S20" s="26">
        <f t="shared" si="5"/>
        <v>5</v>
      </c>
      <c r="T20" s="26">
        <f t="shared" si="5"/>
        <v>5</v>
      </c>
      <c r="U20" s="26">
        <f t="shared" si="5"/>
        <v>5</v>
      </c>
      <c r="V20" s="26">
        <f t="shared" si="5"/>
        <v>5</v>
      </c>
      <c r="W20" s="26">
        <f t="shared" si="5"/>
        <v>5</v>
      </c>
      <c r="X20" s="26">
        <f t="shared" si="5"/>
        <v>5</v>
      </c>
      <c r="Y20" s="26">
        <f t="shared" si="5"/>
        <v>5</v>
      </c>
      <c r="Z20" s="26">
        <f t="shared" si="5"/>
        <v>5</v>
      </c>
      <c r="AA20" s="26">
        <f t="shared" si="5"/>
        <v>5</v>
      </c>
      <c r="AB20" s="26">
        <f t="shared" si="5"/>
        <v>5</v>
      </c>
      <c r="AC20" s="26">
        <f t="shared" si="5"/>
        <v>5</v>
      </c>
      <c r="AD20" s="26">
        <f t="shared" si="5"/>
        <v>5</v>
      </c>
      <c r="AE20" s="26">
        <f t="shared" si="5"/>
        <v>5</v>
      </c>
      <c r="AF20" s="26">
        <f t="shared" si="5"/>
        <v>5</v>
      </c>
      <c r="AG20" s="26">
        <f t="shared" si="5"/>
        <v>5</v>
      </c>
      <c r="AH20" s="3"/>
      <c r="AI20" s="3"/>
      <c r="AJ20" s="3"/>
      <c r="AK20" s="3"/>
      <c r="AL20" s="3"/>
    </row>
    <row r="21">
      <c r="AD21" s="28"/>
      <c r="AE21" s="28"/>
      <c r="AF21" s="28"/>
      <c r="AG21" s="28"/>
      <c r="AH21" s="28"/>
      <c r="AI21" s="3"/>
      <c r="AJ21" s="3"/>
      <c r="AK21" s="3"/>
      <c r="AL21" s="3"/>
    </row>
    <row r="22">
      <c r="AD22" s="28"/>
      <c r="AE22" s="28"/>
      <c r="AF22" s="28"/>
      <c r="AG22" s="28"/>
      <c r="AH22" s="28"/>
      <c r="AI22" s="3"/>
      <c r="AJ22" s="3"/>
      <c r="AK22" s="3"/>
      <c r="AL22" s="3"/>
    </row>
    <row r="23">
      <c r="AI23" s="3"/>
      <c r="AJ23" s="3"/>
      <c r="AK23" s="3"/>
      <c r="AL23" s="3"/>
    </row>
    <row r="24">
      <c r="AI24" s="3"/>
      <c r="AJ24" s="3"/>
      <c r="AK24" s="3"/>
      <c r="AL24" s="3"/>
    </row>
    <row r="25">
      <c r="AI25" s="3"/>
      <c r="AJ25" s="3"/>
      <c r="AK25" s="3"/>
      <c r="AL25" s="3"/>
    </row>
    <row r="26">
      <c r="AD26" s="28"/>
      <c r="AE26" s="28"/>
      <c r="AF26" s="28"/>
      <c r="AG26" s="28"/>
      <c r="AH26" s="28"/>
      <c r="AI26" s="3"/>
      <c r="AJ26" s="3"/>
      <c r="AK26" s="3"/>
      <c r="AL26" s="3"/>
    </row>
    <row r="27"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</row>
    <row r="28"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</row>
    <row r="29">
      <c r="AD29" s="28"/>
      <c r="AE29" s="28"/>
      <c r="AF29" s="28"/>
      <c r="AG29" s="28"/>
      <c r="AH29" s="28"/>
      <c r="AM29" s="28"/>
      <c r="AN29" s="28"/>
      <c r="AO29" s="28"/>
      <c r="AP29" s="28"/>
    </row>
    <row r="30">
      <c r="AM30" s="28"/>
      <c r="AN30" s="28"/>
      <c r="AO30" s="28"/>
      <c r="AP30" s="28"/>
    </row>
    <row r="31">
      <c r="AM31" s="28"/>
      <c r="AN31" s="28"/>
      <c r="AO31" s="28"/>
      <c r="AP31" s="28"/>
    </row>
    <row r="32"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</row>
    <row r="33"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</row>
    <row r="34"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</row>
    <row r="35"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</row>
    <row r="36"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</row>
    <row r="37"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</row>
    <row r="38"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</row>
    <row r="39"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</row>
    <row r="40"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</row>
    <row r="41"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</row>
    <row r="42"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</row>
    <row r="43"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</row>
    <row r="44"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</row>
    <row r="45"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</row>
    <row r="46"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</row>
    <row r="47"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</row>
    <row r="48"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</row>
    <row r="49"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</row>
    <row r="50"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</row>
    <row r="51"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</row>
    <row r="52"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</row>
    <row r="53"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</row>
    <row r="54"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</row>
    <row r="55"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</row>
    <row r="56"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</row>
    <row r="57"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</row>
    <row r="58"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</row>
    <row r="59"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</row>
    <row r="60"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</row>
    <row r="61"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</row>
    <row r="62"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</row>
    <row r="63"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</row>
    <row r="64"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</row>
    <row r="65">
      <c r="J65" s="15" t="s">
        <v>27</v>
      </c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</row>
    <row r="66">
      <c r="J66" s="15" t="s">
        <v>25</v>
      </c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</row>
    <row r="67">
      <c r="J67" s="15" t="s">
        <v>34</v>
      </c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</row>
    <row r="68">
      <c r="J68" s="15" t="s">
        <v>26</v>
      </c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</row>
    <row r="69"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</row>
    <row r="70"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</row>
    <row r="71"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</row>
    <row r="72"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</row>
    <row r="73"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</row>
    <row r="74"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</row>
    <row r="75"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</row>
    <row r="76"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</row>
    <row r="77"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</row>
    <row r="78"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</row>
    <row r="79"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</row>
    <row r="80"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</row>
    <row r="81"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</row>
    <row r="82"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</row>
    <row r="83"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</row>
    <row r="84"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</row>
    <row r="85"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</row>
    <row r="86"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</row>
    <row r="87"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</row>
    <row r="88"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</row>
    <row r="89"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</row>
    <row r="90"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</row>
    <row r="91"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</row>
    <row r="92"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</row>
    <row r="93"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</row>
    <row r="94"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</row>
    <row r="95"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</row>
    <row r="96"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</row>
    <row r="97"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</row>
    <row r="98"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</row>
    <row r="99"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</row>
    <row r="100"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</row>
    <row r="101"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</row>
    <row r="102"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</row>
    <row r="103"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</row>
    <row r="104"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</row>
    <row r="105"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</row>
    <row r="106"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</row>
    <row r="107"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</row>
    <row r="108"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</row>
    <row r="109"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</row>
    <row r="110"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</row>
    <row r="111"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</row>
    <row r="112"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</row>
    <row r="113"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</row>
    <row r="114"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</row>
    <row r="115"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</row>
    <row r="116"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</row>
    <row r="117"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</row>
    <row r="118"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</row>
    <row r="119"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</row>
    <row r="120"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</row>
    <row r="121"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</row>
    <row r="122"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</row>
    <row r="123"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</row>
    <row r="124"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</row>
    <row r="125"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</row>
    <row r="126"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</row>
    <row r="127"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</row>
    <row r="128"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</row>
    <row r="129"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</row>
    <row r="130"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</row>
    <row r="131"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</row>
    <row r="132"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</row>
    <row r="133"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</row>
    <row r="134"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</row>
    <row r="135"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</row>
    <row r="136"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</row>
    <row r="137"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</row>
    <row r="138"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</row>
    <row r="139"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</row>
    <row r="140"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</row>
    <row r="141"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</row>
    <row r="142"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</row>
    <row r="143"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</row>
    <row r="144"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</row>
    <row r="145"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</row>
    <row r="146"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</row>
    <row r="147"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</row>
    <row r="148"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</row>
    <row r="149"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</row>
    <row r="150"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</row>
    <row r="151"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</row>
    <row r="152"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</row>
    <row r="153"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</row>
    <row r="154"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</row>
    <row r="155"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</row>
    <row r="156"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</row>
    <row r="157"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</row>
    <row r="158"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</row>
    <row r="159"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</row>
    <row r="160"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</row>
    <row r="161"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</row>
    <row r="162"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</row>
    <row r="163"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</row>
    <row r="164"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</row>
    <row r="165"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</row>
    <row r="166"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</row>
    <row r="167"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</row>
    <row r="168"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</row>
    <row r="169"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</row>
    <row r="170"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</row>
    <row r="171"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</row>
    <row r="172"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</row>
    <row r="173"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</row>
    <row r="174"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</row>
    <row r="175"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</row>
    <row r="176"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</row>
    <row r="177"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</row>
    <row r="178"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</row>
    <row r="179"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</row>
    <row r="180"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</row>
    <row r="181"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</row>
    <row r="182"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</row>
    <row r="183"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</row>
    <row r="184"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</row>
    <row r="185"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</row>
    <row r="186"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</row>
    <row r="187"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</row>
    <row r="188"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</row>
    <row r="189"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</row>
    <row r="190"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</row>
    <row r="191"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</row>
    <row r="192"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</row>
    <row r="193"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</row>
    <row r="194"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</row>
    <row r="195"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</row>
    <row r="196"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</row>
    <row r="197"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</row>
    <row r="198"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</row>
    <row r="199"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</row>
    <row r="200"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</row>
    <row r="201"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</row>
    <row r="202"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</row>
    <row r="203"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</row>
    <row r="204"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</row>
    <row r="205"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</row>
    <row r="206"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</row>
    <row r="207"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</row>
    <row r="208"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</row>
    <row r="209"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</row>
    <row r="210"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</row>
    <row r="211"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</row>
    <row r="212"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</row>
    <row r="213"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</row>
    <row r="214"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</row>
    <row r="215"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</row>
    <row r="216"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</row>
    <row r="217"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</row>
    <row r="218"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</row>
    <row r="219"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</row>
    <row r="220"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</row>
    <row r="221"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</row>
    <row r="222"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</row>
    <row r="223"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</row>
    <row r="224"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</row>
    <row r="225"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</row>
    <row r="226"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</row>
    <row r="227"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</row>
    <row r="228"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</row>
    <row r="229"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</row>
    <row r="230"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</row>
    <row r="231"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</row>
    <row r="232"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</row>
    <row r="233"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</row>
    <row r="234"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</row>
    <row r="235"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</row>
    <row r="236"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</row>
    <row r="237"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</row>
    <row r="238"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</row>
    <row r="239"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</row>
    <row r="240"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</row>
    <row r="241"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</row>
    <row r="242"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</row>
    <row r="243"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</row>
    <row r="244"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</row>
    <row r="245"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</row>
    <row r="246"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</row>
    <row r="247"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</row>
    <row r="248"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</row>
    <row r="249"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</row>
    <row r="250"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</row>
    <row r="251"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</row>
    <row r="252"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</row>
    <row r="253"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</row>
    <row r="254"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</row>
    <row r="255"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</row>
    <row r="256"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</row>
    <row r="257"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</row>
    <row r="258"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</row>
    <row r="259"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</row>
    <row r="260"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</row>
    <row r="261"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</row>
    <row r="262"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</row>
    <row r="263"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</row>
    <row r="264"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</row>
    <row r="265"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</row>
    <row r="266"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</row>
    <row r="267"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</row>
    <row r="268"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</row>
    <row r="269"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</row>
    <row r="270"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</row>
    <row r="271"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</row>
    <row r="272"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</row>
    <row r="273"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</row>
    <row r="274"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</row>
    <row r="275"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</row>
    <row r="276"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</row>
    <row r="277"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</row>
    <row r="278"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</row>
    <row r="279"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</row>
    <row r="280"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</row>
    <row r="281"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</row>
    <row r="282"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</row>
    <row r="283"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</row>
    <row r="284"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</row>
    <row r="285"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</row>
    <row r="286"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</row>
    <row r="287"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</row>
    <row r="288"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</row>
    <row r="289"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</row>
    <row r="290"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</row>
    <row r="291"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</row>
    <row r="292"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</row>
    <row r="293"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</row>
    <row r="294"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</row>
    <row r="295"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</row>
    <row r="296"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</row>
    <row r="297"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</row>
    <row r="298"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</row>
    <row r="299"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</row>
    <row r="300"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</row>
    <row r="301"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</row>
    <row r="302"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</row>
    <row r="303"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</row>
    <row r="304"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</row>
    <row r="305"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</row>
    <row r="306"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</row>
    <row r="307"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</row>
    <row r="308"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</row>
    <row r="309"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</row>
    <row r="310"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</row>
    <row r="311"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</row>
    <row r="312"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</row>
    <row r="313"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</row>
    <row r="314"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</row>
    <row r="315"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</row>
    <row r="316"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</row>
    <row r="317"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</row>
    <row r="318"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</row>
    <row r="319"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</row>
    <row r="320"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</row>
    <row r="321"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</row>
    <row r="322"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</row>
    <row r="323"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</row>
    <row r="324"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</row>
    <row r="325"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</row>
    <row r="326"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</row>
    <row r="327"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</row>
    <row r="328"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</row>
    <row r="329"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</row>
    <row r="330"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</row>
    <row r="331"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</row>
    <row r="332"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</row>
    <row r="333"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</row>
    <row r="334"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</row>
    <row r="335"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</row>
    <row r="336"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</row>
    <row r="337"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</row>
    <row r="338"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</row>
    <row r="339"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</row>
    <row r="340"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</row>
    <row r="341"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</row>
    <row r="342"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</row>
    <row r="343"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</row>
    <row r="344"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</row>
    <row r="345"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</row>
    <row r="346"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</row>
    <row r="347"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</row>
    <row r="348"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</row>
    <row r="349"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</row>
    <row r="350"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</row>
    <row r="351"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</row>
    <row r="352"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</row>
    <row r="353"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</row>
    <row r="354"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</row>
    <row r="355"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</row>
    <row r="356"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</row>
    <row r="357"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</row>
    <row r="358"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</row>
    <row r="359"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</row>
    <row r="360"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</row>
    <row r="361"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</row>
    <row r="362"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</row>
    <row r="363"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</row>
    <row r="364"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</row>
    <row r="365"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</row>
    <row r="366"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</row>
    <row r="367"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</row>
    <row r="368"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</row>
    <row r="369"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</row>
    <row r="370"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</row>
    <row r="371"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</row>
    <row r="372"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</row>
    <row r="373"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</row>
    <row r="374"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</row>
    <row r="375"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</row>
    <row r="376"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</row>
    <row r="377"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</row>
    <row r="378"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</row>
    <row r="379"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</row>
    <row r="380"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</row>
    <row r="381"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</row>
    <row r="382"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</row>
    <row r="383"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</row>
    <row r="384"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</row>
    <row r="385"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</row>
    <row r="386"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</row>
    <row r="387"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</row>
    <row r="388"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</row>
    <row r="389"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</row>
    <row r="390"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</row>
    <row r="391"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</row>
    <row r="392"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</row>
    <row r="393"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</row>
    <row r="394"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</row>
    <row r="395"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</row>
    <row r="396"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</row>
    <row r="397"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</row>
    <row r="398"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</row>
    <row r="399"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</row>
    <row r="400"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</row>
    <row r="401"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</row>
    <row r="402"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</row>
    <row r="403"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</row>
    <row r="404"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</row>
    <row r="405"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</row>
    <row r="406"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</row>
    <row r="407"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</row>
    <row r="408"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</row>
    <row r="409"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</row>
    <row r="410"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</row>
    <row r="411"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</row>
    <row r="412"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</row>
    <row r="413"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</row>
    <row r="414"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</row>
    <row r="415"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</row>
    <row r="416"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</row>
    <row r="417"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</row>
    <row r="418"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</row>
    <row r="419"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</row>
    <row r="420"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</row>
    <row r="421"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</row>
    <row r="422"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</row>
    <row r="423"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</row>
    <row r="424"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</row>
    <row r="425"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</row>
    <row r="426"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</row>
    <row r="427"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</row>
    <row r="428"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</row>
    <row r="429"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</row>
    <row r="430"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</row>
    <row r="431"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</row>
    <row r="432"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</row>
    <row r="433"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</row>
    <row r="434"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</row>
    <row r="435"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</row>
    <row r="436"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</row>
    <row r="437"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</row>
    <row r="438"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</row>
    <row r="439"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</row>
    <row r="440"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</row>
    <row r="441"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</row>
    <row r="442"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</row>
    <row r="443"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</row>
    <row r="444"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</row>
    <row r="445"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</row>
    <row r="446"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</row>
    <row r="447"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</row>
    <row r="448"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</row>
    <row r="449"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</row>
    <row r="450"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</row>
    <row r="451"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</row>
    <row r="452"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</row>
    <row r="453"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</row>
    <row r="454"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</row>
    <row r="455"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</row>
    <row r="456"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</row>
    <row r="457"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</row>
    <row r="458"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</row>
    <row r="459"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</row>
    <row r="460"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</row>
    <row r="461"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</row>
    <row r="462"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</row>
    <row r="463"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</row>
    <row r="464"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</row>
    <row r="465"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</row>
    <row r="466"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</row>
    <row r="467"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</row>
    <row r="468"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</row>
    <row r="469"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</row>
    <row r="470"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</row>
    <row r="471"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</row>
    <row r="472"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</row>
    <row r="473"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</row>
    <row r="474"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</row>
    <row r="475"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</row>
    <row r="476"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</row>
    <row r="477"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</row>
    <row r="478"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</row>
    <row r="479"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</row>
    <row r="480"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</row>
    <row r="481"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</row>
    <row r="482"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</row>
    <row r="483"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</row>
    <row r="484"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</row>
    <row r="485"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</row>
    <row r="486"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</row>
    <row r="487"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</row>
    <row r="488"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</row>
    <row r="489"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</row>
    <row r="490"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</row>
    <row r="491"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</row>
    <row r="492"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</row>
    <row r="493"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</row>
    <row r="494"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</row>
    <row r="495"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</row>
    <row r="496"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</row>
    <row r="497"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</row>
    <row r="498"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</row>
    <row r="499"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</row>
    <row r="500"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</row>
    <row r="501"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</row>
    <row r="502"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</row>
    <row r="503"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</row>
    <row r="504"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</row>
    <row r="505"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</row>
    <row r="506"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</row>
    <row r="507"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</row>
    <row r="508"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</row>
    <row r="509"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</row>
    <row r="510"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</row>
    <row r="511"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</row>
    <row r="512"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</row>
    <row r="513"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</row>
    <row r="514"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</row>
    <row r="515"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</row>
    <row r="516"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</row>
    <row r="517"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</row>
    <row r="518"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</row>
    <row r="519"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</row>
    <row r="520"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</row>
    <row r="521"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</row>
    <row r="522"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</row>
    <row r="523"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</row>
    <row r="524"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</row>
    <row r="525"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</row>
    <row r="526"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</row>
    <row r="527"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</row>
    <row r="528"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</row>
    <row r="529"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</row>
    <row r="530"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</row>
    <row r="531"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</row>
    <row r="532"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</row>
    <row r="533"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</row>
    <row r="534"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</row>
    <row r="535"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</row>
    <row r="536"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</row>
    <row r="537"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</row>
    <row r="538"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</row>
    <row r="539"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</row>
    <row r="540"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</row>
    <row r="541"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</row>
    <row r="542"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</row>
    <row r="543"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</row>
    <row r="544"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</row>
    <row r="545"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</row>
    <row r="546"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</row>
    <row r="547"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</row>
    <row r="548"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</row>
    <row r="549"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</row>
    <row r="550"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</row>
    <row r="551"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</row>
    <row r="552"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</row>
    <row r="553"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</row>
    <row r="554"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</row>
    <row r="555"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</row>
    <row r="556"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</row>
    <row r="557"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</row>
    <row r="558"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</row>
    <row r="559"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</row>
    <row r="560"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</row>
    <row r="561"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</row>
    <row r="562"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</row>
    <row r="563"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</row>
    <row r="564"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</row>
    <row r="565"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</row>
    <row r="566"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</row>
    <row r="567"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</row>
    <row r="568"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</row>
    <row r="569"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</row>
    <row r="570"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</row>
    <row r="571"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</row>
    <row r="572"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</row>
    <row r="573"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</row>
    <row r="574"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</row>
    <row r="575"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</row>
    <row r="576"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</row>
    <row r="577"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</row>
    <row r="578"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</row>
    <row r="579"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</row>
    <row r="580"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</row>
    <row r="581"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</row>
    <row r="582"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</row>
    <row r="583"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</row>
    <row r="584"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</row>
    <row r="585"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</row>
    <row r="586"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</row>
    <row r="587"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</row>
    <row r="588"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</row>
    <row r="589"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</row>
    <row r="590"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</row>
    <row r="591"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</row>
    <row r="592"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</row>
    <row r="593"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</row>
    <row r="594"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</row>
    <row r="595"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</row>
    <row r="596"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</row>
    <row r="597"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</row>
    <row r="598"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</row>
    <row r="599"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</row>
    <row r="600"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</row>
    <row r="601"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</row>
    <row r="602"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</row>
    <row r="603"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</row>
    <row r="604"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</row>
    <row r="605"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</row>
    <row r="606"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</row>
    <row r="607"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</row>
    <row r="608"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</row>
    <row r="609"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</row>
    <row r="610"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</row>
    <row r="611"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</row>
    <row r="612"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</row>
    <row r="613"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</row>
    <row r="614"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</row>
    <row r="615"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</row>
    <row r="616"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</row>
    <row r="617"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</row>
    <row r="618"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</row>
    <row r="619"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</row>
    <row r="620"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</row>
    <row r="621"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</row>
    <row r="622"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</row>
    <row r="623"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</row>
    <row r="624"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</row>
    <row r="625"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</row>
    <row r="626"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</row>
    <row r="627"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</row>
    <row r="628"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</row>
    <row r="629"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</row>
    <row r="630"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</row>
    <row r="631"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</row>
    <row r="632"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</row>
    <row r="633"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</row>
    <row r="634"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</row>
    <row r="635"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</row>
    <row r="636"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</row>
    <row r="637"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</row>
    <row r="638"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</row>
    <row r="639"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</row>
    <row r="640"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</row>
    <row r="641"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</row>
    <row r="642"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</row>
    <row r="643"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</row>
    <row r="644"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</row>
    <row r="645"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</row>
    <row r="646"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</row>
    <row r="647"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</row>
    <row r="648"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</row>
    <row r="649"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</row>
    <row r="650"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</row>
    <row r="651"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</row>
    <row r="652"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</row>
    <row r="653"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</row>
    <row r="654"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</row>
    <row r="655"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</row>
    <row r="656"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</row>
    <row r="657"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</row>
    <row r="658"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</row>
    <row r="659"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</row>
    <row r="660"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</row>
    <row r="661"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</row>
    <row r="662"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</row>
    <row r="663"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</row>
    <row r="664"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</row>
    <row r="665"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</row>
    <row r="666"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</row>
    <row r="667"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</row>
    <row r="668"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</row>
    <row r="669"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</row>
    <row r="670"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</row>
    <row r="671"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</row>
    <row r="672"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</row>
    <row r="673"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</row>
    <row r="674"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</row>
    <row r="675"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</row>
    <row r="676"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</row>
    <row r="677"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</row>
    <row r="678"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</row>
    <row r="679"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</row>
    <row r="680"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</row>
    <row r="681"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</row>
    <row r="682"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</row>
    <row r="683"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</row>
    <row r="684"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</row>
    <row r="685"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</row>
    <row r="686"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</row>
    <row r="687"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</row>
    <row r="688"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</row>
    <row r="689"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</row>
    <row r="690"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</row>
    <row r="691"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</row>
    <row r="692"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</row>
    <row r="693"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</row>
    <row r="694"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</row>
    <row r="695"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</row>
    <row r="696"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</row>
    <row r="697"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</row>
    <row r="698"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</row>
    <row r="699"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</row>
    <row r="700"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</row>
    <row r="701"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</row>
    <row r="702"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</row>
    <row r="703"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</row>
    <row r="704"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</row>
    <row r="705"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</row>
    <row r="706"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</row>
    <row r="707"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</row>
    <row r="708"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</row>
    <row r="709"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</row>
    <row r="710"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</row>
    <row r="711"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</row>
    <row r="712"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</row>
    <row r="713"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</row>
    <row r="714"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</row>
    <row r="715"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</row>
    <row r="716"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</row>
    <row r="717"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</row>
    <row r="718"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</row>
    <row r="719"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</row>
    <row r="720"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</row>
    <row r="721"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</row>
    <row r="722"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</row>
    <row r="723"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</row>
    <row r="724"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</row>
    <row r="725"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</row>
    <row r="726"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</row>
    <row r="727"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</row>
    <row r="728"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</row>
    <row r="729"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</row>
    <row r="730"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</row>
    <row r="731"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</row>
    <row r="732"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</row>
    <row r="733"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</row>
    <row r="734"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</row>
    <row r="735"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</row>
    <row r="736"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</row>
    <row r="737"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</row>
    <row r="738"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</row>
    <row r="739"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</row>
    <row r="740"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</row>
    <row r="741"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</row>
    <row r="742"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</row>
    <row r="743"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</row>
    <row r="744"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</row>
    <row r="745"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</row>
    <row r="746"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</row>
    <row r="747"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</row>
    <row r="748"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</row>
    <row r="749"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</row>
    <row r="750"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</row>
    <row r="751"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</row>
    <row r="752"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</row>
    <row r="753"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</row>
    <row r="754"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</row>
    <row r="755"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</row>
    <row r="756"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</row>
    <row r="757"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</row>
    <row r="758"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</row>
    <row r="759"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</row>
    <row r="760"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</row>
    <row r="761"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</row>
    <row r="762"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</row>
    <row r="763"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</row>
    <row r="764"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</row>
    <row r="765"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</row>
    <row r="766"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</row>
    <row r="767"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</row>
    <row r="768"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</row>
    <row r="769"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</row>
    <row r="770"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</row>
    <row r="771"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</row>
    <row r="772"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</row>
    <row r="773"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</row>
    <row r="774"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</row>
    <row r="775"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</row>
    <row r="776"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</row>
    <row r="777"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</row>
    <row r="778"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</row>
    <row r="779"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</row>
    <row r="780"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</row>
    <row r="781"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</row>
    <row r="782"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</row>
    <row r="783"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</row>
    <row r="784"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</row>
    <row r="785"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</row>
    <row r="786"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</row>
    <row r="787"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</row>
    <row r="788"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</row>
    <row r="789"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</row>
    <row r="790"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</row>
    <row r="791"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</row>
    <row r="792"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</row>
    <row r="793"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</row>
    <row r="794"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</row>
    <row r="795"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</row>
    <row r="796"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</row>
    <row r="797"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</row>
    <row r="798"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</row>
    <row r="799"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</row>
    <row r="800"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</row>
    <row r="801"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</row>
    <row r="802"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</row>
    <row r="803"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</row>
    <row r="804"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</row>
    <row r="805"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</row>
    <row r="806"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</row>
    <row r="807"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</row>
    <row r="808"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</row>
    <row r="809"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</row>
    <row r="810"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</row>
    <row r="811"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</row>
    <row r="812"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</row>
    <row r="813"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</row>
    <row r="814"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</row>
    <row r="815"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</row>
    <row r="816"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</row>
    <row r="817"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</row>
    <row r="818"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</row>
    <row r="819"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</row>
    <row r="820"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</row>
    <row r="821"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</row>
    <row r="822"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</row>
    <row r="823"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</row>
    <row r="824"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</row>
    <row r="825"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</row>
    <row r="826"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</row>
    <row r="827"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</row>
    <row r="828"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</row>
    <row r="829"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</row>
    <row r="830"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</row>
    <row r="831"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</row>
    <row r="832"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</row>
    <row r="833"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</row>
    <row r="834"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</row>
    <row r="835"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</row>
    <row r="836"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</row>
    <row r="837"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</row>
    <row r="838"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</row>
    <row r="839"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</row>
    <row r="840"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</row>
    <row r="841"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</row>
    <row r="842"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</row>
    <row r="843"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</row>
    <row r="844"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</row>
    <row r="845"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</row>
    <row r="846"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</row>
    <row r="847"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</row>
    <row r="848"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</row>
    <row r="849"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</row>
    <row r="850"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</row>
    <row r="851"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</row>
    <row r="852"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</row>
    <row r="853"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</row>
    <row r="854"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</row>
    <row r="855"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</row>
    <row r="856"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</row>
    <row r="857"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</row>
    <row r="858"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</row>
    <row r="859"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</row>
    <row r="860"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</row>
    <row r="861"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</row>
    <row r="862"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</row>
    <row r="863"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</row>
    <row r="864"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</row>
    <row r="865"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</row>
    <row r="866"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</row>
    <row r="867"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</row>
    <row r="868"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</row>
    <row r="869"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</row>
    <row r="870"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</row>
    <row r="871"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</row>
    <row r="872"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</row>
    <row r="873"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</row>
    <row r="874"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</row>
    <row r="875"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</row>
    <row r="876"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</row>
    <row r="877"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</row>
    <row r="878"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</row>
    <row r="879"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</row>
    <row r="880"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</row>
    <row r="881"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</row>
    <row r="882"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</row>
    <row r="883"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</row>
    <row r="884"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</row>
    <row r="885"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</row>
    <row r="886"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</row>
    <row r="887"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</row>
    <row r="888"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</row>
    <row r="889"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</row>
    <row r="890"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</row>
    <row r="891"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</row>
    <row r="892"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</row>
    <row r="893"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</row>
    <row r="894"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</row>
    <row r="895"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</row>
    <row r="896"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</row>
    <row r="897"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</row>
    <row r="898"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</row>
    <row r="899"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</row>
    <row r="900"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</row>
    <row r="901"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</row>
    <row r="902"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</row>
    <row r="903"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</row>
    <row r="904"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</row>
    <row r="905"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</row>
    <row r="906"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</row>
    <row r="907"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</row>
    <row r="908"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</row>
    <row r="909"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</row>
    <row r="910"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</row>
    <row r="911"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</row>
    <row r="912"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</row>
    <row r="913"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</row>
    <row r="914"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</row>
    <row r="915"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</row>
    <row r="916"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</row>
    <row r="917"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</row>
    <row r="918"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</row>
    <row r="919"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</row>
    <row r="920"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</row>
    <row r="921"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</row>
    <row r="922"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</row>
    <row r="923"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</row>
    <row r="924"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</row>
    <row r="925"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</row>
    <row r="926"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</row>
    <row r="927"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</row>
    <row r="928"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</row>
    <row r="929"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</row>
    <row r="930"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</row>
    <row r="931"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</row>
    <row r="932"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</row>
    <row r="933"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</row>
    <row r="934"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</row>
    <row r="935"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</row>
    <row r="936"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</row>
    <row r="937"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</row>
    <row r="938"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</row>
    <row r="939"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</row>
    <row r="940"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</row>
    <row r="941"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</row>
    <row r="942"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</row>
    <row r="943"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</row>
    <row r="944"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</row>
    <row r="945"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</row>
    <row r="946"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</row>
    <row r="947"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</row>
    <row r="948"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</row>
    <row r="949"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</row>
    <row r="950"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</row>
    <row r="951"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</row>
    <row r="952"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</row>
    <row r="953"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</row>
    <row r="954"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</row>
    <row r="955"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</row>
    <row r="956"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</row>
    <row r="957"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</row>
    <row r="958"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</row>
    <row r="959"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</row>
    <row r="960"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</row>
    <row r="961"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</row>
    <row r="962"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</row>
    <row r="963"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</row>
    <row r="964"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</row>
    <row r="965"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</row>
    <row r="966"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</row>
    <row r="967"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</row>
    <row r="968"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</row>
    <row r="969"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</row>
    <row r="970"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</row>
    <row r="971"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</row>
    <row r="972"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</row>
    <row r="973"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</row>
    <row r="974"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</row>
    <row r="975"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</row>
    <row r="976"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</row>
    <row r="977"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</row>
    <row r="978"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</row>
    <row r="979"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</row>
    <row r="980"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</row>
    <row r="981"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</row>
    <row r="982"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</row>
    <row r="983"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</row>
    <row r="984"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</row>
    <row r="985"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</row>
    <row r="986"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</row>
    <row r="987"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</row>
    <row r="988"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</row>
    <row r="989"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</row>
    <row r="990"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</row>
    <row r="991"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</row>
    <row r="992"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</row>
    <row r="993"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</row>
    <row r="994"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</row>
    <row r="995"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</row>
    <row r="996"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</row>
    <row r="997"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</row>
    <row r="998"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</row>
    <row r="999"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</row>
    <row r="1000"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</row>
    <row r="1001">
      <c r="AD1001" s="28"/>
      <c r="AE1001" s="28"/>
      <c r="AF1001" s="28"/>
      <c r="AG1001" s="28"/>
      <c r="AH1001" s="28"/>
      <c r="AI1001" s="28"/>
      <c r="AJ1001" s="28"/>
      <c r="AK1001" s="28"/>
      <c r="AL1001" s="28"/>
      <c r="AM1001" s="28"/>
      <c r="AN1001" s="28"/>
      <c r="AO1001" s="28"/>
      <c r="AP1001" s="28"/>
    </row>
    <row r="1002">
      <c r="AD1002" s="28"/>
      <c r="AE1002" s="28"/>
      <c r="AF1002" s="28"/>
      <c r="AG1002" s="28"/>
      <c r="AH1002" s="28"/>
      <c r="AI1002" s="28"/>
      <c r="AJ1002" s="28"/>
      <c r="AK1002" s="28"/>
      <c r="AL1002" s="28"/>
      <c r="AM1002" s="28"/>
      <c r="AN1002" s="28"/>
      <c r="AO1002" s="28"/>
      <c r="AP1002" s="28"/>
    </row>
  </sheetData>
  <mergeCells count="23">
    <mergeCell ref="I3:AG3"/>
    <mergeCell ref="A1:H3"/>
    <mergeCell ref="I1:N1"/>
    <mergeCell ref="O1:V1"/>
    <mergeCell ref="W1:AC1"/>
    <mergeCell ref="AD1:AG1"/>
    <mergeCell ref="I2:N2"/>
    <mergeCell ref="O2:V2"/>
    <mergeCell ref="J5:P5"/>
    <mergeCell ref="Q5:W5"/>
    <mergeCell ref="AM18:AP18"/>
    <mergeCell ref="A18:B18"/>
    <mergeCell ref="A19:B19"/>
    <mergeCell ref="A20:B20"/>
    <mergeCell ref="A5:B7"/>
    <mergeCell ref="C5:I5"/>
    <mergeCell ref="AE5:AK5"/>
    <mergeCell ref="AM5:AP6"/>
    <mergeCell ref="AM19:AP26"/>
    <mergeCell ref="A4:AG4"/>
    <mergeCell ref="W2:AC2"/>
    <mergeCell ref="AD2:AG2"/>
    <mergeCell ref="X5:AD5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26.25"/>
    <col customWidth="1" min="3" max="22" width="4.13"/>
    <col customWidth="1" min="23" max="23" width="4.5"/>
    <col customWidth="1" min="24" max="35" width="4.13"/>
    <col customWidth="1" min="36" max="36" width="5.38"/>
    <col customWidth="1" min="37" max="37" width="3.75"/>
    <col customWidth="1" min="38" max="38" width="9.25"/>
    <col customWidth="1" min="39" max="39" width="6.75"/>
    <col customWidth="1" min="40" max="40" width="6.0"/>
    <col customWidth="1" min="41" max="41" width="6.88"/>
    <col customWidth="1" min="42" max="42" width="13.25"/>
  </cols>
  <sheetData>
    <row r="1" ht="36.75" customHeight="1">
      <c r="A1" s="1" t="s">
        <v>0</v>
      </c>
      <c r="I1" s="2" t="s">
        <v>1</v>
      </c>
      <c r="O1" s="2" t="s">
        <v>2</v>
      </c>
      <c r="W1" s="2" t="s">
        <v>3</v>
      </c>
      <c r="AD1" s="2" t="s">
        <v>4</v>
      </c>
      <c r="AH1" s="3"/>
      <c r="AI1" s="3"/>
      <c r="AJ1" s="3"/>
      <c r="AK1" s="3"/>
      <c r="AL1" s="3"/>
    </row>
    <row r="2">
      <c r="I2" s="2">
        <v>8.0</v>
      </c>
      <c r="O2" s="4">
        <f>COUNTIF(C8:AG12, TRUE)</f>
        <v>0</v>
      </c>
      <c r="W2" s="5" t="str">
        <f>IFERROR(__xludf.DUMMYFUNCTION("SPARKLINE(AD2, {""charttype"",""bar""; ""max"",1;""color1"",""green""; ""empty"",""zero""})"),"")</f>
        <v/>
      </c>
      <c r="X2" s="6"/>
      <c r="Y2" s="6"/>
      <c r="Z2" s="6"/>
      <c r="AA2" s="6"/>
      <c r="AB2" s="6"/>
      <c r="AC2" s="7"/>
      <c r="AD2" s="8">
        <f>SUM(O2) / (COUNTA(C8:AG8) * ROWS(C8:AG15))</f>
        <v>0</v>
      </c>
      <c r="AH2" s="3"/>
      <c r="AI2" s="3"/>
      <c r="AJ2" s="3"/>
      <c r="AK2" s="3"/>
      <c r="AL2" s="3"/>
    </row>
    <row r="3">
      <c r="I3" s="9"/>
      <c r="AH3" s="3"/>
      <c r="AI3" s="3"/>
      <c r="AJ3" s="3"/>
      <c r="AK3" s="3"/>
      <c r="AL3" s="3"/>
    </row>
    <row r="4">
      <c r="A4" s="10"/>
      <c r="AH4" s="3"/>
      <c r="AI4" s="3"/>
      <c r="AJ4" s="3"/>
      <c r="AK4" s="3"/>
      <c r="AL4" s="3"/>
      <c r="AM4" s="3"/>
      <c r="AN4" s="3"/>
      <c r="AO4" s="3"/>
      <c r="AP4" s="3"/>
    </row>
    <row r="5">
      <c r="A5" s="11" t="s">
        <v>5</v>
      </c>
      <c r="C5" s="12" t="s">
        <v>6</v>
      </c>
      <c r="J5" s="11" t="s">
        <v>7</v>
      </c>
      <c r="Q5" s="12" t="s">
        <v>8</v>
      </c>
      <c r="X5" s="11" t="s">
        <v>9</v>
      </c>
      <c r="AE5" s="12" t="s">
        <v>10</v>
      </c>
      <c r="AL5" s="11" t="s">
        <v>35</v>
      </c>
      <c r="AM5" s="13" t="s">
        <v>11</v>
      </c>
    </row>
    <row r="6"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2" t="s">
        <v>17</v>
      </c>
      <c r="I6" s="12" t="s">
        <v>18</v>
      </c>
      <c r="J6" s="11" t="s">
        <v>12</v>
      </c>
      <c r="K6" s="11" t="s">
        <v>13</v>
      </c>
      <c r="L6" s="11" t="s">
        <v>14</v>
      </c>
      <c r="M6" s="11" t="s">
        <v>15</v>
      </c>
      <c r="N6" s="11" t="s">
        <v>16</v>
      </c>
      <c r="O6" s="11" t="s">
        <v>17</v>
      </c>
      <c r="P6" s="11" t="s">
        <v>18</v>
      </c>
      <c r="Q6" s="12" t="s">
        <v>12</v>
      </c>
      <c r="R6" s="12" t="s">
        <v>13</v>
      </c>
      <c r="S6" s="12" t="s">
        <v>14</v>
      </c>
      <c r="T6" s="12" t="s">
        <v>15</v>
      </c>
      <c r="U6" s="12" t="s">
        <v>16</v>
      </c>
      <c r="V6" s="12" t="s">
        <v>17</v>
      </c>
      <c r="W6" s="12" t="s">
        <v>18</v>
      </c>
      <c r="X6" s="11" t="s">
        <v>12</v>
      </c>
      <c r="Y6" s="11" t="s">
        <v>13</v>
      </c>
      <c r="Z6" s="11" t="s">
        <v>14</v>
      </c>
      <c r="AA6" s="11" t="s">
        <v>15</v>
      </c>
      <c r="AB6" s="11" t="s">
        <v>16</v>
      </c>
      <c r="AC6" s="11" t="s">
        <v>17</v>
      </c>
      <c r="AD6" s="11" t="s">
        <v>18</v>
      </c>
      <c r="AE6" s="12" t="s">
        <v>12</v>
      </c>
      <c r="AF6" s="12" t="s">
        <v>13</v>
      </c>
      <c r="AG6" s="12" t="s">
        <v>14</v>
      </c>
      <c r="AH6" s="12" t="s">
        <v>15</v>
      </c>
      <c r="AI6" s="12" t="s">
        <v>16</v>
      </c>
      <c r="AJ6" s="12" t="s">
        <v>17</v>
      </c>
      <c r="AK6" s="12" t="s">
        <v>18</v>
      </c>
      <c r="AL6" s="11" t="s">
        <v>12</v>
      </c>
    </row>
    <row r="7">
      <c r="C7" s="12">
        <v>26.0</v>
      </c>
      <c r="D7" s="12">
        <v>27.0</v>
      </c>
      <c r="E7" s="12">
        <v>28.0</v>
      </c>
      <c r="F7" s="12">
        <v>29.0</v>
      </c>
      <c r="G7" s="12">
        <v>39.0</v>
      </c>
      <c r="H7" s="12">
        <v>31.0</v>
      </c>
      <c r="I7" s="12">
        <v>1.0</v>
      </c>
      <c r="J7" s="11">
        <v>2.0</v>
      </c>
      <c r="K7" s="11">
        <v>3.0</v>
      </c>
      <c r="L7" s="11">
        <v>4.0</v>
      </c>
      <c r="M7" s="11">
        <v>5.0</v>
      </c>
      <c r="N7" s="11">
        <v>6.0</v>
      </c>
      <c r="O7" s="11">
        <v>7.0</v>
      </c>
      <c r="P7" s="11">
        <v>8.0</v>
      </c>
      <c r="Q7" s="12">
        <v>9.0</v>
      </c>
      <c r="R7" s="12">
        <v>10.0</v>
      </c>
      <c r="S7" s="12">
        <v>11.0</v>
      </c>
      <c r="T7" s="12">
        <v>12.0</v>
      </c>
      <c r="U7" s="12">
        <v>13.0</v>
      </c>
      <c r="V7" s="12">
        <v>14.0</v>
      </c>
      <c r="W7" s="12">
        <v>15.0</v>
      </c>
      <c r="X7" s="11">
        <v>16.0</v>
      </c>
      <c r="Y7" s="11">
        <v>17.0</v>
      </c>
      <c r="Z7" s="11">
        <v>18.0</v>
      </c>
      <c r="AA7" s="11">
        <v>19.0</v>
      </c>
      <c r="AB7" s="11">
        <v>20.0</v>
      </c>
      <c r="AC7" s="11">
        <v>21.0</v>
      </c>
      <c r="AD7" s="11">
        <v>22.0</v>
      </c>
      <c r="AE7" s="12">
        <v>23.0</v>
      </c>
      <c r="AF7" s="12">
        <v>24.0</v>
      </c>
      <c r="AG7" s="12">
        <v>25.0</v>
      </c>
      <c r="AH7" s="12">
        <v>26.0</v>
      </c>
      <c r="AI7" s="12">
        <v>27.0</v>
      </c>
      <c r="AJ7" s="12">
        <v>28.0</v>
      </c>
      <c r="AK7" s="12">
        <v>29.0</v>
      </c>
      <c r="AL7" s="11">
        <v>30.0</v>
      </c>
      <c r="AM7" s="14" t="s">
        <v>19</v>
      </c>
      <c r="AN7" s="14" t="s">
        <v>20</v>
      </c>
      <c r="AO7" s="14" t="s">
        <v>21</v>
      </c>
      <c r="AP7" s="14" t="s">
        <v>3</v>
      </c>
    </row>
    <row r="8">
      <c r="A8" s="15">
        <v>1.0</v>
      </c>
      <c r="B8" s="15" t="s">
        <v>22</v>
      </c>
      <c r="C8" s="16" t="b">
        <v>0</v>
      </c>
      <c r="D8" s="16" t="b">
        <v>0</v>
      </c>
      <c r="E8" s="16" t="b">
        <v>0</v>
      </c>
      <c r="F8" s="16" t="b">
        <v>0</v>
      </c>
      <c r="G8" s="16" t="b">
        <v>0</v>
      </c>
      <c r="H8" s="16" t="b">
        <v>0</v>
      </c>
      <c r="I8" s="16" t="b">
        <v>0</v>
      </c>
      <c r="J8" s="17" t="b">
        <v>0</v>
      </c>
      <c r="K8" s="17" t="b">
        <v>0</v>
      </c>
      <c r="L8" s="17" t="b">
        <v>0</v>
      </c>
      <c r="M8" s="17" t="b">
        <v>0</v>
      </c>
      <c r="N8" s="17" t="b">
        <v>0</v>
      </c>
      <c r="O8" s="17" t="b">
        <v>0</v>
      </c>
      <c r="P8" s="17" t="b">
        <v>0</v>
      </c>
      <c r="Q8" s="16" t="b">
        <v>0</v>
      </c>
      <c r="R8" s="16" t="b">
        <v>0</v>
      </c>
      <c r="S8" s="16" t="b">
        <v>0</v>
      </c>
      <c r="T8" s="16" t="b">
        <v>0</v>
      </c>
      <c r="U8" s="16" t="b">
        <v>0</v>
      </c>
      <c r="V8" s="16" t="b">
        <v>0</v>
      </c>
      <c r="W8" s="16" t="b">
        <v>0</v>
      </c>
      <c r="X8" s="17" t="b">
        <v>0</v>
      </c>
      <c r="Y8" s="17" t="b">
        <v>0</v>
      </c>
      <c r="Z8" s="17" t="b">
        <v>0</v>
      </c>
      <c r="AA8" s="17" t="b">
        <v>0</v>
      </c>
      <c r="AB8" s="17" t="b">
        <v>0</v>
      </c>
      <c r="AC8" s="17" t="b">
        <v>0</v>
      </c>
      <c r="AD8" s="17" t="b">
        <v>0</v>
      </c>
      <c r="AE8" s="16" t="b">
        <v>0</v>
      </c>
      <c r="AF8" s="16" t="b">
        <v>0</v>
      </c>
      <c r="AG8" s="16" t="b">
        <v>0</v>
      </c>
      <c r="AH8" s="16" t="b">
        <v>0</v>
      </c>
      <c r="AI8" s="16" t="b">
        <v>0</v>
      </c>
      <c r="AJ8" s="16" t="b">
        <v>0</v>
      </c>
      <c r="AK8" s="16" t="b">
        <v>0</v>
      </c>
      <c r="AL8" s="17" t="b">
        <v>0</v>
      </c>
      <c r="AM8" s="18">
        <v>31.0</v>
      </c>
      <c r="AN8" s="18">
        <f t="shared" ref="AN8:AN15" si="1">COUNTIF(C8:AK8, TRUE)</f>
        <v>0</v>
      </c>
      <c r="AO8" s="19">
        <f t="shared" ref="AO8:AO15" si="2">SUM(AN8 / (COUNTA(C8:AK8) * ROWS(C8:AK8)))</f>
        <v>0</v>
      </c>
      <c r="AP8" s="20" t="str">
        <f>IFERROR(__xludf.DUMMYFUNCTION("SPARKLINE(AO8, {""charttype"",""bar""; ""max"",1;""color1"",""green""; ""empty"",""zero""})"),"")</f>
        <v/>
      </c>
    </row>
    <row r="9">
      <c r="A9" s="15">
        <v>2.0</v>
      </c>
      <c r="B9" s="15" t="s">
        <v>23</v>
      </c>
      <c r="C9" s="16" t="b">
        <v>0</v>
      </c>
      <c r="D9" s="21" t="b">
        <v>0</v>
      </c>
      <c r="E9" s="16" t="b">
        <v>0</v>
      </c>
      <c r="F9" s="21" t="b">
        <v>0</v>
      </c>
      <c r="G9" s="16" t="b">
        <v>0</v>
      </c>
      <c r="H9" s="21" t="b">
        <v>0</v>
      </c>
      <c r="I9" s="21" t="b">
        <v>0</v>
      </c>
      <c r="J9" s="22" t="b">
        <v>0</v>
      </c>
      <c r="K9" s="22" t="b">
        <v>0</v>
      </c>
      <c r="L9" s="22" t="b">
        <v>0</v>
      </c>
      <c r="M9" s="22" t="b">
        <v>0</v>
      </c>
      <c r="N9" s="22" t="b">
        <v>0</v>
      </c>
      <c r="O9" s="17" t="b">
        <v>0</v>
      </c>
      <c r="P9" s="17" t="b">
        <v>0</v>
      </c>
      <c r="Q9" s="21" t="b">
        <v>0</v>
      </c>
      <c r="R9" s="16" t="b">
        <v>0</v>
      </c>
      <c r="S9" s="16" t="b">
        <v>0</v>
      </c>
      <c r="T9" s="21" t="b">
        <v>0</v>
      </c>
      <c r="U9" s="16" t="b">
        <v>0</v>
      </c>
      <c r="V9" s="16" t="b">
        <v>0</v>
      </c>
      <c r="W9" s="21" t="b">
        <v>0</v>
      </c>
      <c r="X9" s="17" t="b">
        <v>0</v>
      </c>
      <c r="Y9" s="22" t="b">
        <v>0</v>
      </c>
      <c r="Z9" s="22" t="b">
        <v>0</v>
      </c>
      <c r="AA9" s="22" t="b">
        <v>0</v>
      </c>
      <c r="AB9" s="22" t="b">
        <v>0</v>
      </c>
      <c r="AC9" s="22" t="b">
        <v>0</v>
      </c>
      <c r="AD9" s="22" t="b">
        <v>0</v>
      </c>
      <c r="AE9" s="21" t="b">
        <v>0</v>
      </c>
      <c r="AF9" s="21" t="b">
        <v>0</v>
      </c>
      <c r="AG9" s="21" t="b">
        <v>0</v>
      </c>
      <c r="AH9" s="21" t="b">
        <v>0</v>
      </c>
      <c r="AI9" s="21" t="b">
        <v>0</v>
      </c>
      <c r="AJ9" s="16" t="b">
        <v>0</v>
      </c>
      <c r="AK9" s="21" t="b">
        <v>0</v>
      </c>
      <c r="AL9" s="22" t="b">
        <v>0</v>
      </c>
      <c r="AM9" s="18">
        <v>31.0</v>
      </c>
      <c r="AN9" s="18">
        <f t="shared" si="1"/>
        <v>0</v>
      </c>
      <c r="AO9" s="19">
        <f t="shared" si="2"/>
        <v>0</v>
      </c>
      <c r="AP9" s="20" t="str">
        <f>IFERROR(__xludf.DUMMYFUNCTION("SPARKLINE(AO9, {""charttype"",""bar""; ""max"",1;""color1"",""green""; ""empty"",""zero""})"),"")</f>
        <v/>
      </c>
    </row>
    <row r="10">
      <c r="A10" s="15">
        <v>3.0</v>
      </c>
      <c r="B10" s="15" t="s">
        <v>24</v>
      </c>
      <c r="C10" s="16" t="b">
        <v>0</v>
      </c>
      <c r="D10" s="21" t="b">
        <v>0</v>
      </c>
      <c r="E10" s="16" t="b">
        <v>0</v>
      </c>
      <c r="F10" s="21" t="b">
        <v>0</v>
      </c>
      <c r="G10" s="16" t="b">
        <v>0</v>
      </c>
      <c r="H10" s="21" t="b">
        <v>0</v>
      </c>
      <c r="I10" s="16" t="b">
        <v>0</v>
      </c>
      <c r="J10" s="22" t="b">
        <v>0</v>
      </c>
      <c r="K10" s="22" t="b">
        <v>0</v>
      </c>
      <c r="L10" s="22" t="b">
        <v>0</v>
      </c>
      <c r="M10" s="22" t="b">
        <v>0</v>
      </c>
      <c r="N10" s="22" t="b">
        <v>0</v>
      </c>
      <c r="O10" s="22" t="b">
        <v>0</v>
      </c>
      <c r="P10" s="17" t="b">
        <v>0</v>
      </c>
      <c r="Q10" s="21" t="b">
        <v>0</v>
      </c>
      <c r="R10" s="21" t="b">
        <v>0</v>
      </c>
      <c r="S10" s="16" t="b">
        <v>0</v>
      </c>
      <c r="T10" s="21" t="b">
        <v>0</v>
      </c>
      <c r="U10" s="16" t="b">
        <v>0</v>
      </c>
      <c r="V10" s="16" t="b">
        <v>0</v>
      </c>
      <c r="W10" s="21" t="b">
        <v>0</v>
      </c>
      <c r="X10" s="17" t="b">
        <v>0</v>
      </c>
      <c r="Y10" s="22" t="b">
        <v>0</v>
      </c>
      <c r="Z10" s="22" t="b">
        <v>0</v>
      </c>
      <c r="AA10" s="22" t="b">
        <v>0</v>
      </c>
      <c r="AB10" s="22" t="b">
        <v>0</v>
      </c>
      <c r="AC10" s="22" t="b">
        <v>0</v>
      </c>
      <c r="AD10" s="22" t="b">
        <v>0</v>
      </c>
      <c r="AE10" s="21" t="b">
        <v>0</v>
      </c>
      <c r="AF10" s="21" t="b">
        <v>0</v>
      </c>
      <c r="AG10" s="21" t="b">
        <v>0</v>
      </c>
      <c r="AH10" s="21" t="b">
        <v>0</v>
      </c>
      <c r="AI10" s="16" t="b">
        <v>0</v>
      </c>
      <c r="AJ10" s="16" t="b">
        <v>0</v>
      </c>
      <c r="AK10" s="21" t="b">
        <v>0</v>
      </c>
      <c r="AL10" s="22" t="b">
        <v>0</v>
      </c>
      <c r="AM10" s="18">
        <v>31.0</v>
      </c>
      <c r="AN10" s="18">
        <f t="shared" si="1"/>
        <v>0</v>
      </c>
      <c r="AO10" s="19">
        <f t="shared" si="2"/>
        <v>0</v>
      </c>
      <c r="AP10" s="20" t="str">
        <f>IFERROR(__xludf.DUMMYFUNCTION("SPARKLINE(AO10, {""charttype"",""bar""; ""max"",1;""color1"",""green""; ""empty"",""zero""})"),"")</f>
        <v/>
      </c>
    </row>
    <row r="11">
      <c r="A11" s="15">
        <v>4.0</v>
      </c>
      <c r="B11" s="15" t="s">
        <v>25</v>
      </c>
      <c r="C11" s="16" t="b">
        <v>0</v>
      </c>
      <c r="D11" s="16" t="b">
        <v>0</v>
      </c>
      <c r="E11" s="16" t="b">
        <v>0</v>
      </c>
      <c r="F11" s="16" t="b">
        <v>0</v>
      </c>
      <c r="G11" s="16" t="b">
        <v>0</v>
      </c>
      <c r="H11" s="16" t="b">
        <v>0</v>
      </c>
      <c r="I11" s="16" t="b">
        <v>0</v>
      </c>
      <c r="J11" s="22" t="b">
        <v>0</v>
      </c>
      <c r="K11" s="22" t="b">
        <v>0</v>
      </c>
      <c r="L11" s="22" t="b">
        <v>0</v>
      </c>
      <c r="M11" s="22" t="b">
        <v>0</v>
      </c>
      <c r="N11" s="17" t="b">
        <v>0</v>
      </c>
      <c r="O11" s="22" t="b">
        <v>0</v>
      </c>
      <c r="P11" s="22" t="b">
        <v>0</v>
      </c>
      <c r="Q11" s="21" t="b">
        <v>0</v>
      </c>
      <c r="R11" s="16" t="b">
        <v>0</v>
      </c>
      <c r="S11" s="16" t="b">
        <v>0</v>
      </c>
      <c r="T11" s="21" t="b">
        <v>0</v>
      </c>
      <c r="U11" s="16" t="b">
        <v>0</v>
      </c>
      <c r="V11" s="16" t="b">
        <v>0</v>
      </c>
      <c r="W11" s="21" t="b">
        <v>0</v>
      </c>
      <c r="X11" s="17" t="b">
        <v>0</v>
      </c>
      <c r="Y11" s="22" t="b">
        <v>0</v>
      </c>
      <c r="Z11" s="22" t="b">
        <v>0</v>
      </c>
      <c r="AA11" s="22" t="b">
        <v>0</v>
      </c>
      <c r="AB11" s="22" t="b">
        <v>0</v>
      </c>
      <c r="AC11" s="22" t="b">
        <v>0</v>
      </c>
      <c r="AD11" s="22" t="b">
        <v>0</v>
      </c>
      <c r="AE11" s="21" t="b">
        <v>0</v>
      </c>
      <c r="AF11" s="21" t="b">
        <v>0</v>
      </c>
      <c r="AG11" s="21" t="b">
        <v>0</v>
      </c>
      <c r="AH11" s="21" t="b">
        <v>0</v>
      </c>
      <c r="AI11" s="16" t="b">
        <v>0</v>
      </c>
      <c r="AJ11" s="21" t="b">
        <v>0</v>
      </c>
      <c r="AK11" s="21" t="b">
        <v>0</v>
      </c>
      <c r="AL11" s="22" t="b">
        <v>0</v>
      </c>
      <c r="AM11" s="18">
        <v>31.0</v>
      </c>
      <c r="AN11" s="18">
        <f t="shared" si="1"/>
        <v>0</v>
      </c>
      <c r="AO11" s="19">
        <f t="shared" si="2"/>
        <v>0</v>
      </c>
      <c r="AP11" s="20" t="str">
        <f>IFERROR(__xludf.DUMMYFUNCTION("SPARKLINE(AO11, {""charttype"",""bar""; ""max"",1;""color1"",""green""; ""empty"",""zero""})"),"")</f>
        <v/>
      </c>
    </row>
    <row r="12">
      <c r="A12" s="15">
        <v>5.0</v>
      </c>
      <c r="B12" s="15" t="s">
        <v>26</v>
      </c>
      <c r="C12" s="16" t="b">
        <v>0</v>
      </c>
      <c r="D12" s="16" t="b">
        <v>0</v>
      </c>
      <c r="E12" s="21" t="b">
        <v>0</v>
      </c>
      <c r="F12" s="21" t="b">
        <v>0</v>
      </c>
      <c r="G12" s="16" t="b">
        <v>0</v>
      </c>
      <c r="H12" s="16" t="b">
        <v>0</v>
      </c>
      <c r="I12" s="16" t="b">
        <v>0</v>
      </c>
      <c r="J12" s="22" t="b">
        <v>0</v>
      </c>
      <c r="K12" s="22" t="b">
        <v>0</v>
      </c>
      <c r="L12" s="17" t="b">
        <v>0</v>
      </c>
      <c r="M12" s="17" t="b">
        <v>0</v>
      </c>
      <c r="N12" s="17" t="b">
        <v>0</v>
      </c>
      <c r="O12" s="22" t="b">
        <v>0</v>
      </c>
      <c r="P12" s="22" t="b">
        <v>0</v>
      </c>
      <c r="Q12" s="16" t="b">
        <v>0</v>
      </c>
      <c r="R12" s="16" t="b">
        <v>0</v>
      </c>
      <c r="S12" s="21" t="b">
        <v>0</v>
      </c>
      <c r="T12" s="21" t="b">
        <v>0</v>
      </c>
      <c r="U12" s="16" t="b">
        <v>0</v>
      </c>
      <c r="V12" s="16" t="b">
        <v>0</v>
      </c>
      <c r="W12" s="21" t="b">
        <v>0</v>
      </c>
      <c r="X12" s="17" t="b">
        <v>0</v>
      </c>
      <c r="Y12" s="22" t="b">
        <v>0</v>
      </c>
      <c r="Z12" s="22" t="b">
        <v>0</v>
      </c>
      <c r="AA12" s="22" t="b">
        <v>0</v>
      </c>
      <c r="AB12" s="22" t="b">
        <v>0</v>
      </c>
      <c r="AC12" s="22" t="b">
        <v>0</v>
      </c>
      <c r="AD12" s="22" t="b">
        <v>0</v>
      </c>
      <c r="AE12" s="21" t="b">
        <v>0</v>
      </c>
      <c r="AF12" s="21" t="b">
        <v>0</v>
      </c>
      <c r="AG12" s="21" t="b">
        <v>0</v>
      </c>
      <c r="AH12" s="21" t="b">
        <v>0</v>
      </c>
      <c r="AI12" s="21" t="b">
        <v>0</v>
      </c>
      <c r="AJ12" s="21" t="b">
        <v>0</v>
      </c>
      <c r="AK12" s="21" t="b">
        <v>0</v>
      </c>
      <c r="AL12" s="22" t="b">
        <v>0</v>
      </c>
      <c r="AM12" s="18">
        <v>31.0</v>
      </c>
      <c r="AN12" s="18">
        <f t="shared" si="1"/>
        <v>0</v>
      </c>
      <c r="AO12" s="19">
        <f t="shared" si="2"/>
        <v>0</v>
      </c>
      <c r="AP12" s="20" t="str">
        <f>IFERROR(__xludf.DUMMYFUNCTION("SPARKLINE(AO12, {""charttype"",""bar""; ""max"",1;""color1"",""green""; ""empty"",""zero""})"),"")</f>
        <v/>
      </c>
    </row>
    <row r="13">
      <c r="A13" s="15">
        <v>6.0</v>
      </c>
      <c r="B13" s="15" t="s">
        <v>27</v>
      </c>
      <c r="C13" s="16" t="b">
        <v>0</v>
      </c>
      <c r="D13" s="21" t="b">
        <v>0</v>
      </c>
      <c r="E13" s="21" t="b">
        <v>0</v>
      </c>
      <c r="F13" s="21" t="b">
        <v>0</v>
      </c>
      <c r="G13" s="21" t="b">
        <v>0</v>
      </c>
      <c r="H13" s="21" t="b">
        <v>0</v>
      </c>
      <c r="I13" s="16" t="b">
        <v>0</v>
      </c>
      <c r="J13" s="17" t="b">
        <v>0</v>
      </c>
      <c r="K13" s="22" t="b">
        <v>0</v>
      </c>
      <c r="L13" s="22" t="b">
        <v>0</v>
      </c>
      <c r="M13" s="22" t="b">
        <v>0</v>
      </c>
      <c r="N13" s="17" t="b">
        <v>0</v>
      </c>
      <c r="O13" s="22" t="b">
        <v>0</v>
      </c>
      <c r="P13" s="22" t="b">
        <v>0</v>
      </c>
      <c r="Q13" s="21" t="b">
        <v>0</v>
      </c>
      <c r="R13" s="16" t="b">
        <v>0</v>
      </c>
      <c r="S13" s="21" t="b">
        <v>0</v>
      </c>
      <c r="T13" s="21" t="b">
        <v>0</v>
      </c>
      <c r="U13" s="16" t="b">
        <v>0</v>
      </c>
      <c r="V13" s="16" t="b">
        <v>0</v>
      </c>
      <c r="W13" s="21" t="b">
        <v>0</v>
      </c>
      <c r="X13" s="17" t="b">
        <v>0</v>
      </c>
      <c r="Y13" s="22" t="b">
        <v>0</v>
      </c>
      <c r="Z13" s="22" t="b">
        <v>0</v>
      </c>
      <c r="AA13" s="22" t="b">
        <v>0</v>
      </c>
      <c r="AB13" s="22" t="b">
        <v>0</v>
      </c>
      <c r="AC13" s="17" t="b">
        <v>0</v>
      </c>
      <c r="AD13" s="22" t="b">
        <v>0</v>
      </c>
      <c r="AE13" s="21" t="b">
        <v>0</v>
      </c>
      <c r="AF13" s="21" t="b">
        <v>0</v>
      </c>
      <c r="AG13" s="21" t="b">
        <v>0</v>
      </c>
      <c r="AH13" s="21" t="b">
        <v>0</v>
      </c>
      <c r="AI13" s="21" t="b">
        <v>0</v>
      </c>
      <c r="AJ13" s="21" t="b">
        <v>0</v>
      </c>
      <c r="AK13" s="21" t="b">
        <v>0</v>
      </c>
      <c r="AL13" s="22" t="b">
        <v>0</v>
      </c>
      <c r="AM13" s="18">
        <v>31.0</v>
      </c>
      <c r="AN13" s="18">
        <f t="shared" si="1"/>
        <v>0</v>
      </c>
      <c r="AO13" s="19">
        <f t="shared" si="2"/>
        <v>0</v>
      </c>
      <c r="AP13" s="20" t="str">
        <f>IFERROR(__xludf.DUMMYFUNCTION("SPARKLINE(AO13, {""charttype"",""bar""; ""max"",1;""color1"",""green""; ""empty"",""zero""})"),"")</f>
        <v/>
      </c>
    </row>
    <row r="14">
      <c r="A14" s="15">
        <v>7.0</v>
      </c>
      <c r="B14" s="15" t="s">
        <v>28</v>
      </c>
      <c r="C14" s="16" t="b">
        <v>0</v>
      </c>
      <c r="D14" s="16" t="b">
        <v>0</v>
      </c>
      <c r="E14" s="21" t="b">
        <v>0</v>
      </c>
      <c r="F14" s="21" t="b">
        <v>0</v>
      </c>
      <c r="G14" s="16" t="b">
        <v>0</v>
      </c>
      <c r="H14" s="21" t="b">
        <v>0</v>
      </c>
      <c r="I14" s="21" t="b">
        <v>0</v>
      </c>
      <c r="J14" s="17" t="b">
        <v>0</v>
      </c>
      <c r="K14" s="22" t="b">
        <v>0</v>
      </c>
      <c r="L14" s="17" t="b">
        <v>0</v>
      </c>
      <c r="M14" s="17" t="b">
        <v>0</v>
      </c>
      <c r="N14" s="22" t="b">
        <v>0</v>
      </c>
      <c r="O14" s="22" t="b">
        <v>0</v>
      </c>
      <c r="P14" s="22" t="b">
        <v>0</v>
      </c>
      <c r="Q14" s="21" t="b">
        <v>0</v>
      </c>
      <c r="R14" s="16" t="b">
        <v>0</v>
      </c>
      <c r="S14" s="21" t="b">
        <v>0</v>
      </c>
      <c r="T14" s="21" t="b">
        <v>0</v>
      </c>
      <c r="U14" s="16" t="b">
        <v>0</v>
      </c>
      <c r="V14" s="16" t="b">
        <v>0</v>
      </c>
      <c r="W14" s="21" t="b">
        <v>0</v>
      </c>
      <c r="X14" s="17" t="b">
        <v>0</v>
      </c>
      <c r="Y14" s="22" t="b">
        <v>0</v>
      </c>
      <c r="Z14" s="22" t="b">
        <v>0</v>
      </c>
      <c r="AA14" s="22" t="b">
        <v>0</v>
      </c>
      <c r="AB14" s="22" t="b">
        <v>0</v>
      </c>
      <c r="AC14" s="17" t="b">
        <v>0</v>
      </c>
      <c r="AD14" s="22" t="b">
        <v>0</v>
      </c>
      <c r="AE14" s="21" t="b">
        <v>0</v>
      </c>
      <c r="AF14" s="21" t="b">
        <v>0</v>
      </c>
      <c r="AG14" s="16" t="b">
        <v>0</v>
      </c>
      <c r="AH14" s="21" t="b">
        <v>0</v>
      </c>
      <c r="AI14" s="21" t="b">
        <v>0</v>
      </c>
      <c r="AJ14" s="21" t="b">
        <v>0</v>
      </c>
      <c r="AK14" s="16" t="b">
        <v>0</v>
      </c>
      <c r="AL14" s="17" t="b">
        <v>0</v>
      </c>
      <c r="AM14" s="18">
        <v>31.0</v>
      </c>
      <c r="AN14" s="18">
        <f t="shared" si="1"/>
        <v>0</v>
      </c>
      <c r="AO14" s="19">
        <f t="shared" si="2"/>
        <v>0</v>
      </c>
      <c r="AP14" s="20" t="str">
        <f>IFERROR(__xludf.DUMMYFUNCTION("SPARKLINE(AO14, {""charttype"",""bar""; ""max"",1;""color1"",""green""; ""empty"",""zero""})"),"")</f>
        <v/>
      </c>
    </row>
    <row r="15">
      <c r="A15" s="15">
        <v>8.0</v>
      </c>
      <c r="B15" s="15" t="s">
        <v>29</v>
      </c>
      <c r="C15" s="16" t="b">
        <v>0</v>
      </c>
      <c r="D15" s="21" t="b">
        <v>0</v>
      </c>
      <c r="E15" s="21" t="b">
        <v>0</v>
      </c>
      <c r="F15" s="16" t="b">
        <v>0</v>
      </c>
      <c r="G15" s="21" t="b">
        <v>0</v>
      </c>
      <c r="H15" s="16" t="b">
        <v>0</v>
      </c>
      <c r="I15" s="21" t="b">
        <v>0</v>
      </c>
      <c r="J15" s="17" t="b">
        <v>0</v>
      </c>
      <c r="K15" s="22" t="b">
        <v>0</v>
      </c>
      <c r="L15" s="22" t="b">
        <v>0</v>
      </c>
      <c r="M15" s="17" t="b">
        <v>0</v>
      </c>
      <c r="N15" s="22" t="b">
        <v>0</v>
      </c>
      <c r="O15" s="22" t="b">
        <v>0</v>
      </c>
      <c r="P15" s="22" t="b">
        <v>0</v>
      </c>
      <c r="Q15" s="21" t="b">
        <v>0</v>
      </c>
      <c r="R15" s="16" t="b">
        <v>0</v>
      </c>
      <c r="S15" s="21" t="b">
        <v>0</v>
      </c>
      <c r="T15" s="21" t="b">
        <v>0</v>
      </c>
      <c r="U15" s="16" t="b">
        <v>0</v>
      </c>
      <c r="V15" s="16" t="b">
        <v>0</v>
      </c>
      <c r="W15" s="21" t="b">
        <v>0</v>
      </c>
      <c r="X15" s="17" t="b">
        <v>0</v>
      </c>
      <c r="Y15" s="22" t="b">
        <v>0</v>
      </c>
      <c r="Z15" s="22" t="b">
        <v>0</v>
      </c>
      <c r="AA15" s="22" t="b">
        <v>0</v>
      </c>
      <c r="AB15" s="22" t="b">
        <v>0</v>
      </c>
      <c r="AC15" s="17" t="b">
        <v>0</v>
      </c>
      <c r="AD15" s="22" t="b">
        <v>0</v>
      </c>
      <c r="AE15" s="21" t="b">
        <v>0</v>
      </c>
      <c r="AF15" s="21" t="b">
        <v>0</v>
      </c>
      <c r="AG15" s="16" t="b">
        <v>0</v>
      </c>
      <c r="AH15" s="21" t="b">
        <v>0</v>
      </c>
      <c r="AI15" s="21" t="b">
        <v>0</v>
      </c>
      <c r="AJ15" s="21" t="b">
        <v>0</v>
      </c>
      <c r="AK15" s="16" t="b">
        <v>0</v>
      </c>
      <c r="AL15" s="17" t="b">
        <v>0</v>
      </c>
      <c r="AM15" s="18">
        <v>31.0</v>
      </c>
      <c r="AN15" s="18">
        <f t="shared" si="1"/>
        <v>0</v>
      </c>
      <c r="AO15" s="19">
        <f t="shared" si="2"/>
        <v>0</v>
      </c>
      <c r="AP15" s="20" t="str">
        <f>IFERROR(__xludf.DUMMYFUNCTION("SPARKLINE(AO15, {""charttype"",""bar""; ""max"",1;""color1"",""green""; ""empty"",""zero""})"),"")</f>
        <v/>
      </c>
    </row>
    <row r="17">
      <c r="A17" s="23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>
      <c r="A18" s="15" t="s">
        <v>3</v>
      </c>
      <c r="C18" s="25">
        <f t="shared" ref="C18:AG18" si="3">IF(COUNTA(C8:C12)=0, 0, COUNTIF(C8:C12, TRUE)/COUNTA(C8:C12))</f>
        <v>0</v>
      </c>
      <c r="D18" s="25">
        <f t="shared" si="3"/>
        <v>0</v>
      </c>
      <c r="E18" s="25">
        <f t="shared" si="3"/>
        <v>0</v>
      </c>
      <c r="F18" s="25">
        <f t="shared" si="3"/>
        <v>0</v>
      </c>
      <c r="G18" s="25">
        <f t="shared" si="3"/>
        <v>0</v>
      </c>
      <c r="H18" s="25">
        <f t="shared" si="3"/>
        <v>0</v>
      </c>
      <c r="I18" s="25">
        <f t="shared" si="3"/>
        <v>0</v>
      </c>
      <c r="J18" s="25">
        <f t="shared" si="3"/>
        <v>0</v>
      </c>
      <c r="K18" s="25">
        <f t="shared" si="3"/>
        <v>0</v>
      </c>
      <c r="L18" s="25">
        <f t="shared" si="3"/>
        <v>0</v>
      </c>
      <c r="M18" s="25">
        <f t="shared" si="3"/>
        <v>0</v>
      </c>
      <c r="N18" s="25">
        <f t="shared" si="3"/>
        <v>0</v>
      </c>
      <c r="O18" s="25">
        <f t="shared" si="3"/>
        <v>0</v>
      </c>
      <c r="P18" s="25">
        <f t="shared" si="3"/>
        <v>0</v>
      </c>
      <c r="Q18" s="25">
        <f t="shared" si="3"/>
        <v>0</v>
      </c>
      <c r="R18" s="25">
        <f t="shared" si="3"/>
        <v>0</v>
      </c>
      <c r="S18" s="25">
        <f t="shared" si="3"/>
        <v>0</v>
      </c>
      <c r="T18" s="25">
        <f t="shared" si="3"/>
        <v>0</v>
      </c>
      <c r="U18" s="25">
        <f t="shared" si="3"/>
        <v>0</v>
      </c>
      <c r="V18" s="25">
        <f t="shared" si="3"/>
        <v>0</v>
      </c>
      <c r="W18" s="25">
        <f t="shared" si="3"/>
        <v>0</v>
      </c>
      <c r="X18" s="25">
        <f t="shared" si="3"/>
        <v>0</v>
      </c>
      <c r="Y18" s="25">
        <f t="shared" si="3"/>
        <v>0</v>
      </c>
      <c r="Z18" s="25">
        <f t="shared" si="3"/>
        <v>0</v>
      </c>
      <c r="AA18" s="25">
        <f t="shared" si="3"/>
        <v>0</v>
      </c>
      <c r="AB18" s="25">
        <f t="shared" si="3"/>
        <v>0</v>
      </c>
      <c r="AC18" s="25">
        <f t="shared" si="3"/>
        <v>0</v>
      </c>
      <c r="AD18" s="25">
        <f t="shared" si="3"/>
        <v>0</v>
      </c>
      <c r="AE18" s="25">
        <f t="shared" si="3"/>
        <v>0</v>
      </c>
      <c r="AF18" s="25">
        <f t="shared" si="3"/>
        <v>0</v>
      </c>
      <c r="AG18" s="25">
        <f t="shared" si="3"/>
        <v>0</v>
      </c>
      <c r="AH18" s="3"/>
      <c r="AI18" s="3"/>
      <c r="AJ18" s="3"/>
      <c r="AK18" s="3"/>
      <c r="AL18" s="3"/>
      <c r="AM18" s="11" t="s">
        <v>30</v>
      </c>
    </row>
    <row r="19">
      <c r="A19" s="15" t="s">
        <v>31</v>
      </c>
      <c r="C19" s="26">
        <f t="shared" ref="C19:AG19" si="4">COUNTIF(C8:C12, TRUE)</f>
        <v>0</v>
      </c>
      <c r="D19" s="26">
        <f t="shared" si="4"/>
        <v>0</v>
      </c>
      <c r="E19" s="26">
        <f t="shared" si="4"/>
        <v>0</v>
      </c>
      <c r="F19" s="26">
        <f t="shared" si="4"/>
        <v>0</v>
      </c>
      <c r="G19" s="26">
        <f t="shared" si="4"/>
        <v>0</v>
      </c>
      <c r="H19" s="26">
        <f t="shared" si="4"/>
        <v>0</v>
      </c>
      <c r="I19" s="26">
        <f t="shared" si="4"/>
        <v>0</v>
      </c>
      <c r="J19" s="26">
        <f t="shared" si="4"/>
        <v>0</v>
      </c>
      <c r="K19" s="26">
        <f t="shared" si="4"/>
        <v>0</v>
      </c>
      <c r="L19" s="26">
        <f t="shared" si="4"/>
        <v>0</v>
      </c>
      <c r="M19" s="26">
        <f t="shared" si="4"/>
        <v>0</v>
      </c>
      <c r="N19" s="26">
        <f t="shared" si="4"/>
        <v>0</v>
      </c>
      <c r="O19" s="26">
        <f t="shared" si="4"/>
        <v>0</v>
      </c>
      <c r="P19" s="26">
        <f t="shared" si="4"/>
        <v>0</v>
      </c>
      <c r="Q19" s="26">
        <f t="shared" si="4"/>
        <v>0</v>
      </c>
      <c r="R19" s="26">
        <f t="shared" si="4"/>
        <v>0</v>
      </c>
      <c r="S19" s="26">
        <f t="shared" si="4"/>
        <v>0</v>
      </c>
      <c r="T19" s="26">
        <f t="shared" si="4"/>
        <v>0</v>
      </c>
      <c r="U19" s="26">
        <f t="shared" si="4"/>
        <v>0</v>
      </c>
      <c r="V19" s="26">
        <f t="shared" si="4"/>
        <v>0</v>
      </c>
      <c r="W19" s="26">
        <f t="shared" si="4"/>
        <v>0</v>
      </c>
      <c r="X19" s="26">
        <f t="shared" si="4"/>
        <v>0</v>
      </c>
      <c r="Y19" s="26">
        <f t="shared" si="4"/>
        <v>0</v>
      </c>
      <c r="Z19" s="26">
        <f t="shared" si="4"/>
        <v>0</v>
      </c>
      <c r="AA19" s="26">
        <f t="shared" si="4"/>
        <v>0</v>
      </c>
      <c r="AB19" s="26">
        <f t="shared" si="4"/>
        <v>0</v>
      </c>
      <c r="AC19" s="26">
        <f t="shared" si="4"/>
        <v>0</v>
      </c>
      <c r="AD19" s="26">
        <f t="shared" si="4"/>
        <v>0</v>
      </c>
      <c r="AE19" s="26">
        <f t="shared" si="4"/>
        <v>0</v>
      </c>
      <c r="AF19" s="26">
        <f t="shared" si="4"/>
        <v>0</v>
      </c>
      <c r="AG19" s="26">
        <f t="shared" si="4"/>
        <v>0</v>
      </c>
      <c r="AH19" s="3"/>
      <c r="AI19" s="3"/>
      <c r="AJ19" s="3"/>
      <c r="AK19" s="3"/>
      <c r="AL19" s="3"/>
      <c r="AM19" s="27" t="s">
        <v>32</v>
      </c>
    </row>
    <row r="20">
      <c r="A20" s="15" t="s">
        <v>33</v>
      </c>
      <c r="C20" s="26">
        <f t="shared" ref="C20:AG20" si="5">COUNTIF(C8:C12, FALSE)</f>
        <v>5</v>
      </c>
      <c r="D20" s="26">
        <f t="shared" si="5"/>
        <v>5</v>
      </c>
      <c r="E20" s="26">
        <f t="shared" si="5"/>
        <v>5</v>
      </c>
      <c r="F20" s="26">
        <f t="shared" si="5"/>
        <v>5</v>
      </c>
      <c r="G20" s="26">
        <f t="shared" si="5"/>
        <v>5</v>
      </c>
      <c r="H20" s="26">
        <f t="shared" si="5"/>
        <v>5</v>
      </c>
      <c r="I20" s="26">
        <f t="shared" si="5"/>
        <v>5</v>
      </c>
      <c r="J20" s="26">
        <f t="shared" si="5"/>
        <v>5</v>
      </c>
      <c r="K20" s="26">
        <f t="shared" si="5"/>
        <v>5</v>
      </c>
      <c r="L20" s="26">
        <f t="shared" si="5"/>
        <v>5</v>
      </c>
      <c r="M20" s="26">
        <f t="shared" si="5"/>
        <v>5</v>
      </c>
      <c r="N20" s="26">
        <f t="shared" si="5"/>
        <v>5</v>
      </c>
      <c r="O20" s="26">
        <f t="shared" si="5"/>
        <v>5</v>
      </c>
      <c r="P20" s="26">
        <f t="shared" si="5"/>
        <v>5</v>
      </c>
      <c r="Q20" s="26">
        <f t="shared" si="5"/>
        <v>5</v>
      </c>
      <c r="R20" s="26">
        <f t="shared" si="5"/>
        <v>5</v>
      </c>
      <c r="S20" s="26">
        <f t="shared" si="5"/>
        <v>5</v>
      </c>
      <c r="T20" s="26">
        <f t="shared" si="5"/>
        <v>5</v>
      </c>
      <c r="U20" s="26">
        <f t="shared" si="5"/>
        <v>5</v>
      </c>
      <c r="V20" s="26">
        <f t="shared" si="5"/>
        <v>5</v>
      </c>
      <c r="W20" s="26">
        <f t="shared" si="5"/>
        <v>5</v>
      </c>
      <c r="X20" s="26">
        <f t="shared" si="5"/>
        <v>5</v>
      </c>
      <c r="Y20" s="26">
        <f t="shared" si="5"/>
        <v>5</v>
      </c>
      <c r="Z20" s="26">
        <f t="shared" si="5"/>
        <v>5</v>
      </c>
      <c r="AA20" s="26">
        <f t="shared" si="5"/>
        <v>5</v>
      </c>
      <c r="AB20" s="26">
        <f t="shared" si="5"/>
        <v>5</v>
      </c>
      <c r="AC20" s="26">
        <f t="shared" si="5"/>
        <v>5</v>
      </c>
      <c r="AD20" s="26">
        <f t="shared" si="5"/>
        <v>5</v>
      </c>
      <c r="AE20" s="26">
        <f t="shared" si="5"/>
        <v>5</v>
      </c>
      <c r="AF20" s="26">
        <f t="shared" si="5"/>
        <v>5</v>
      </c>
      <c r="AG20" s="26">
        <f t="shared" si="5"/>
        <v>5</v>
      </c>
      <c r="AH20" s="3"/>
      <c r="AI20" s="3"/>
      <c r="AJ20" s="3"/>
      <c r="AK20" s="3"/>
      <c r="AL20" s="3"/>
    </row>
    <row r="21">
      <c r="AD21" s="28"/>
      <c r="AE21" s="28"/>
      <c r="AF21" s="28"/>
      <c r="AG21" s="28"/>
      <c r="AH21" s="28"/>
      <c r="AI21" s="3"/>
      <c r="AJ21" s="3"/>
      <c r="AK21" s="3"/>
      <c r="AL21" s="3"/>
    </row>
    <row r="22">
      <c r="AD22" s="28"/>
      <c r="AE22" s="28"/>
      <c r="AF22" s="28"/>
      <c r="AG22" s="28"/>
      <c r="AH22" s="28"/>
      <c r="AI22" s="3"/>
      <c r="AJ22" s="3"/>
      <c r="AK22" s="3"/>
      <c r="AL22" s="3"/>
    </row>
    <row r="23">
      <c r="AI23" s="3"/>
      <c r="AJ23" s="3"/>
      <c r="AK23" s="3"/>
      <c r="AL23" s="3"/>
    </row>
    <row r="24">
      <c r="AI24" s="3"/>
      <c r="AJ24" s="3"/>
      <c r="AK24" s="3"/>
      <c r="AL24" s="3"/>
    </row>
    <row r="25">
      <c r="AI25" s="3"/>
      <c r="AJ25" s="3"/>
      <c r="AK25" s="3"/>
      <c r="AL25" s="3"/>
    </row>
    <row r="26">
      <c r="AD26" s="28"/>
      <c r="AE26" s="28"/>
      <c r="AF26" s="28"/>
      <c r="AG26" s="28"/>
      <c r="AH26" s="28"/>
      <c r="AI26" s="3"/>
      <c r="AJ26" s="3"/>
      <c r="AK26" s="3"/>
      <c r="AL26" s="3"/>
    </row>
    <row r="27"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</row>
    <row r="28"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</row>
    <row r="29">
      <c r="AD29" s="28"/>
      <c r="AE29" s="28"/>
      <c r="AF29" s="28"/>
      <c r="AG29" s="28"/>
      <c r="AH29" s="28"/>
      <c r="AM29" s="28"/>
      <c r="AN29" s="28"/>
      <c r="AO29" s="28"/>
      <c r="AP29" s="28"/>
    </row>
    <row r="30">
      <c r="AM30" s="28"/>
      <c r="AN30" s="28"/>
      <c r="AO30" s="28"/>
      <c r="AP30" s="28"/>
    </row>
    <row r="31">
      <c r="AM31" s="28"/>
      <c r="AN31" s="28"/>
      <c r="AO31" s="28"/>
      <c r="AP31" s="28"/>
    </row>
    <row r="32"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</row>
    <row r="33"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</row>
    <row r="34"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</row>
    <row r="35"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</row>
    <row r="36"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</row>
    <row r="37"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</row>
    <row r="38"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</row>
    <row r="39"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</row>
    <row r="40"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</row>
    <row r="41"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</row>
    <row r="42"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</row>
    <row r="43"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</row>
    <row r="44"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</row>
    <row r="45"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</row>
    <row r="46"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</row>
    <row r="47"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</row>
    <row r="48"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</row>
    <row r="49"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</row>
    <row r="50"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</row>
    <row r="51"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</row>
    <row r="52"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</row>
    <row r="53"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</row>
    <row r="54"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</row>
    <row r="55"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</row>
    <row r="56"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</row>
    <row r="57"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</row>
    <row r="58"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</row>
    <row r="59"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</row>
    <row r="60"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</row>
    <row r="61"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</row>
    <row r="62"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</row>
    <row r="63"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</row>
    <row r="64"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</row>
    <row r="65">
      <c r="J65" s="15" t="s">
        <v>27</v>
      </c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</row>
    <row r="66">
      <c r="J66" s="15" t="s">
        <v>25</v>
      </c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</row>
    <row r="67">
      <c r="J67" s="15" t="s">
        <v>34</v>
      </c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</row>
    <row r="68">
      <c r="J68" s="15" t="s">
        <v>26</v>
      </c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</row>
    <row r="69"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</row>
    <row r="70"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</row>
    <row r="71"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</row>
    <row r="72"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</row>
    <row r="73"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</row>
    <row r="74"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</row>
    <row r="75"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</row>
    <row r="76"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</row>
    <row r="77"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</row>
    <row r="78"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</row>
    <row r="79"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</row>
    <row r="80"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</row>
    <row r="81"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</row>
    <row r="82"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</row>
    <row r="83"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</row>
    <row r="84"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</row>
    <row r="85"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</row>
    <row r="86"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</row>
    <row r="87"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</row>
    <row r="88"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</row>
    <row r="89"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</row>
    <row r="90"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</row>
    <row r="91"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</row>
    <row r="92"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</row>
    <row r="93"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</row>
    <row r="94"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</row>
    <row r="95"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</row>
    <row r="96"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</row>
    <row r="97"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</row>
    <row r="98"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</row>
    <row r="99"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</row>
    <row r="100"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</row>
    <row r="101"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</row>
    <row r="102"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</row>
    <row r="103"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</row>
    <row r="104"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</row>
    <row r="105"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</row>
    <row r="106"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</row>
    <row r="107"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</row>
    <row r="108"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</row>
    <row r="109"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</row>
    <row r="110"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</row>
    <row r="111"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</row>
    <row r="112"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</row>
    <row r="113"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</row>
    <row r="114"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</row>
    <row r="115"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</row>
    <row r="116"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</row>
    <row r="117"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</row>
    <row r="118"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</row>
    <row r="119"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</row>
    <row r="120"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</row>
    <row r="121"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</row>
    <row r="122"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</row>
    <row r="123"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</row>
    <row r="124"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</row>
    <row r="125"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</row>
    <row r="126"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</row>
    <row r="127"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</row>
    <row r="128"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</row>
    <row r="129"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</row>
    <row r="130"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</row>
    <row r="131"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</row>
    <row r="132"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</row>
    <row r="133"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</row>
    <row r="134"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</row>
    <row r="135"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</row>
    <row r="136"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</row>
    <row r="137"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</row>
    <row r="138"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</row>
    <row r="139"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</row>
    <row r="140"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</row>
    <row r="141"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</row>
    <row r="142"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</row>
    <row r="143"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</row>
    <row r="144"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</row>
    <row r="145"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</row>
    <row r="146"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</row>
    <row r="147"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</row>
    <row r="148"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</row>
    <row r="149"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</row>
    <row r="150"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</row>
    <row r="151"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</row>
    <row r="152"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</row>
    <row r="153"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</row>
    <row r="154"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</row>
    <row r="155"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</row>
    <row r="156"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</row>
    <row r="157"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</row>
    <row r="158"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</row>
    <row r="159"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</row>
    <row r="160"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</row>
    <row r="161"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</row>
    <row r="162"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</row>
    <row r="163"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</row>
    <row r="164"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</row>
    <row r="165"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</row>
    <row r="166"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</row>
    <row r="167"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</row>
    <row r="168"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</row>
    <row r="169"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</row>
    <row r="170"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</row>
    <row r="171"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</row>
    <row r="172"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</row>
    <row r="173"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</row>
    <row r="174"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</row>
    <row r="175"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</row>
    <row r="176"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</row>
    <row r="177"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</row>
    <row r="178"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</row>
    <row r="179"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</row>
    <row r="180"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</row>
    <row r="181"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</row>
    <row r="182"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</row>
    <row r="183"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</row>
    <row r="184"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</row>
    <row r="185"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</row>
    <row r="186"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</row>
    <row r="187"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</row>
    <row r="188"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</row>
    <row r="189"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</row>
    <row r="190"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</row>
    <row r="191"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</row>
    <row r="192"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</row>
    <row r="193"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</row>
    <row r="194"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</row>
    <row r="195"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</row>
    <row r="196"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</row>
    <row r="197"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</row>
    <row r="198"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</row>
    <row r="199"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</row>
    <row r="200"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</row>
    <row r="201"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</row>
    <row r="202"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</row>
    <row r="203"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</row>
    <row r="204"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</row>
    <row r="205"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</row>
    <row r="206"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</row>
    <row r="207"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</row>
    <row r="208"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</row>
    <row r="209"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</row>
    <row r="210"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</row>
    <row r="211"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</row>
    <row r="212"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</row>
    <row r="213"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</row>
    <row r="214"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</row>
    <row r="215"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</row>
    <row r="216"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</row>
    <row r="217"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</row>
    <row r="218"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</row>
    <row r="219"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</row>
    <row r="220"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</row>
    <row r="221"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</row>
    <row r="222"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</row>
    <row r="223"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</row>
    <row r="224"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</row>
    <row r="225"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</row>
    <row r="226"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</row>
    <row r="227"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</row>
    <row r="228"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</row>
    <row r="229"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</row>
    <row r="230"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</row>
    <row r="231"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</row>
    <row r="232"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</row>
    <row r="233"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</row>
    <row r="234"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</row>
    <row r="235"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</row>
    <row r="236"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</row>
    <row r="237"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</row>
    <row r="238"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</row>
    <row r="239"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</row>
    <row r="240"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</row>
    <row r="241"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</row>
    <row r="242"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</row>
    <row r="243"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</row>
    <row r="244"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</row>
    <row r="245"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</row>
    <row r="246"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</row>
    <row r="247"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</row>
    <row r="248"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</row>
    <row r="249"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</row>
    <row r="250"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</row>
    <row r="251"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</row>
    <row r="252"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</row>
    <row r="253"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</row>
    <row r="254"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</row>
    <row r="255"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</row>
    <row r="256"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</row>
    <row r="257"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</row>
    <row r="258"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</row>
    <row r="259"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</row>
    <row r="260"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</row>
    <row r="261"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</row>
    <row r="262"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</row>
    <row r="263"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</row>
    <row r="264"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</row>
    <row r="265"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</row>
    <row r="266"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</row>
    <row r="267"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</row>
    <row r="268"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</row>
    <row r="269"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</row>
    <row r="270"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</row>
    <row r="271"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</row>
    <row r="272"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</row>
    <row r="273"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</row>
    <row r="274"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</row>
    <row r="275"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</row>
    <row r="276"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</row>
    <row r="277"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</row>
    <row r="278"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</row>
    <row r="279"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</row>
    <row r="280"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</row>
    <row r="281"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</row>
    <row r="282"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</row>
    <row r="283"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</row>
    <row r="284"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</row>
    <row r="285"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</row>
    <row r="286"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</row>
    <row r="287"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</row>
    <row r="288"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</row>
    <row r="289"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</row>
    <row r="290"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</row>
    <row r="291"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</row>
    <row r="292"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</row>
    <row r="293"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</row>
    <row r="294"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</row>
    <row r="295"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</row>
    <row r="296"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</row>
    <row r="297"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</row>
    <row r="298"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</row>
    <row r="299"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</row>
    <row r="300"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</row>
    <row r="301"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</row>
    <row r="302"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</row>
    <row r="303"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</row>
    <row r="304"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</row>
    <row r="305"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</row>
    <row r="306"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</row>
    <row r="307"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</row>
    <row r="308"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</row>
    <row r="309"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</row>
    <row r="310"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</row>
    <row r="311"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</row>
    <row r="312"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</row>
    <row r="313"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</row>
    <row r="314"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</row>
    <row r="315"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</row>
    <row r="316"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</row>
    <row r="317"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</row>
    <row r="318"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</row>
    <row r="319"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</row>
    <row r="320"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</row>
    <row r="321"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</row>
    <row r="322"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</row>
    <row r="323"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</row>
    <row r="324"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</row>
    <row r="325"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</row>
    <row r="326"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</row>
    <row r="327"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</row>
    <row r="328"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</row>
    <row r="329"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</row>
    <row r="330"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</row>
    <row r="331"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</row>
    <row r="332"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</row>
    <row r="333"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</row>
    <row r="334"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</row>
    <row r="335"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</row>
    <row r="336"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</row>
    <row r="337"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</row>
    <row r="338"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</row>
    <row r="339"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</row>
    <row r="340"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</row>
    <row r="341"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</row>
    <row r="342"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</row>
    <row r="343"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</row>
    <row r="344"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</row>
    <row r="345"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</row>
    <row r="346"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</row>
    <row r="347"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</row>
    <row r="348"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</row>
    <row r="349"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</row>
    <row r="350"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</row>
    <row r="351"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</row>
    <row r="352"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</row>
    <row r="353"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</row>
    <row r="354"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</row>
    <row r="355"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</row>
    <row r="356"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</row>
    <row r="357"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</row>
    <row r="358"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</row>
    <row r="359"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</row>
    <row r="360"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</row>
    <row r="361"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</row>
    <row r="362"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</row>
    <row r="363"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</row>
    <row r="364"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</row>
    <row r="365"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</row>
    <row r="366"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</row>
    <row r="367"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</row>
    <row r="368"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</row>
    <row r="369"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</row>
    <row r="370"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</row>
    <row r="371"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</row>
    <row r="372"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</row>
    <row r="373"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</row>
    <row r="374"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</row>
    <row r="375"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</row>
    <row r="376"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</row>
    <row r="377"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</row>
    <row r="378"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</row>
    <row r="379"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</row>
    <row r="380"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</row>
    <row r="381"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</row>
    <row r="382"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</row>
    <row r="383"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</row>
    <row r="384"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</row>
    <row r="385"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</row>
    <row r="386"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</row>
    <row r="387"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</row>
    <row r="388"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</row>
    <row r="389"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</row>
    <row r="390"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</row>
    <row r="391"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</row>
    <row r="392"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</row>
    <row r="393"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</row>
    <row r="394"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</row>
    <row r="395"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</row>
    <row r="396"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</row>
    <row r="397"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</row>
    <row r="398"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</row>
    <row r="399"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</row>
    <row r="400"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</row>
    <row r="401"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</row>
    <row r="402"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</row>
    <row r="403"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</row>
    <row r="404"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</row>
    <row r="405"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</row>
    <row r="406"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</row>
    <row r="407"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</row>
    <row r="408"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</row>
    <row r="409"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</row>
    <row r="410"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</row>
    <row r="411"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</row>
    <row r="412"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</row>
    <row r="413"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</row>
    <row r="414"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</row>
    <row r="415"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</row>
    <row r="416"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</row>
    <row r="417"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</row>
    <row r="418"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</row>
    <row r="419"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</row>
    <row r="420"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</row>
    <row r="421"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</row>
    <row r="422"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</row>
    <row r="423"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</row>
    <row r="424"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</row>
    <row r="425"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</row>
    <row r="426"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</row>
    <row r="427"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</row>
    <row r="428"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</row>
    <row r="429"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</row>
    <row r="430"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</row>
    <row r="431"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</row>
    <row r="432"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</row>
    <row r="433"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</row>
    <row r="434"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</row>
    <row r="435"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</row>
    <row r="436"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</row>
    <row r="437"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</row>
    <row r="438"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</row>
    <row r="439"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</row>
    <row r="440"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</row>
    <row r="441"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</row>
    <row r="442"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</row>
    <row r="443"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</row>
    <row r="444"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</row>
    <row r="445"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</row>
    <row r="446"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</row>
    <row r="447"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</row>
    <row r="448"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</row>
    <row r="449"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</row>
    <row r="450"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</row>
    <row r="451"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</row>
    <row r="452"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</row>
    <row r="453"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</row>
    <row r="454"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</row>
    <row r="455"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</row>
    <row r="456"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</row>
    <row r="457"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</row>
    <row r="458"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</row>
    <row r="459"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</row>
    <row r="460"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</row>
    <row r="461"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</row>
    <row r="462"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</row>
    <row r="463"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</row>
    <row r="464"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</row>
    <row r="465"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</row>
    <row r="466"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</row>
    <row r="467"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</row>
    <row r="468"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</row>
    <row r="469"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</row>
    <row r="470"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</row>
    <row r="471"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</row>
    <row r="472"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</row>
    <row r="473"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</row>
    <row r="474"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</row>
    <row r="475"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</row>
    <row r="476"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</row>
    <row r="477"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</row>
    <row r="478"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</row>
    <row r="479"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</row>
    <row r="480"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</row>
    <row r="481"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</row>
    <row r="482"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</row>
    <row r="483"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</row>
    <row r="484"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</row>
    <row r="485"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</row>
    <row r="486"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</row>
    <row r="487"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</row>
    <row r="488"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</row>
    <row r="489"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</row>
    <row r="490"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</row>
    <row r="491"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</row>
    <row r="492"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</row>
    <row r="493"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</row>
    <row r="494"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</row>
    <row r="495"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</row>
    <row r="496"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</row>
    <row r="497"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</row>
    <row r="498"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</row>
    <row r="499"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</row>
    <row r="500"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</row>
    <row r="501"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</row>
    <row r="502"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</row>
    <row r="503"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</row>
    <row r="504"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</row>
    <row r="505"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</row>
    <row r="506"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</row>
    <row r="507"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</row>
    <row r="508"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</row>
    <row r="509"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</row>
    <row r="510"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</row>
    <row r="511"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</row>
    <row r="512"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</row>
    <row r="513"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</row>
    <row r="514"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</row>
    <row r="515"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</row>
    <row r="516"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</row>
    <row r="517"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</row>
    <row r="518"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</row>
    <row r="519"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</row>
    <row r="520"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</row>
    <row r="521"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</row>
    <row r="522"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</row>
    <row r="523"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</row>
    <row r="524"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</row>
    <row r="525"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</row>
    <row r="526"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</row>
    <row r="527"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</row>
    <row r="528"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</row>
    <row r="529"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</row>
    <row r="530"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</row>
    <row r="531"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</row>
    <row r="532"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</row>
    <row r="533"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</row>
    <row r="534"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</row>
    <row r="535"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</row>
    <row r="536"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</row>
    <row r="537"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</row>
    <row r="538"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</row>
    <row r="539"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</row>
    <row r="540"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</row>
    <row r="541"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</row>
    <row r="542"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</row>
    <row r="543"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</row>
    <row r="544"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</row>
    <row r="545"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</row>
    <row r="546"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</row>
    <row r="547"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</row>
    <row r="548"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</row>
    <row r="549"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</row>
    <row r="550"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</row>
    <row r="551"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</row>
    <row r="552"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</row>
    <row r="553"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</row>
    <row r="554"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</row>
    <row r="555"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</row>
    <row r="556"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</row>
    <row r="557"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</row>
    <row r="558"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</row>
    <row r="559"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</row>
    <row r="560"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</row>
    <row r="561"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</row>
    <row r="562"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</row>
    <row r="563"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</row>
    <row r="564"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</row>
    <row r="565"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</row>
    <row r="566"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</row>
    <row r="567"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</row>
    <row r="568"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</row>
    <row r="569"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</row>
    <row r="570"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</row>
    <row r="571"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</row>
    <row r="572"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</row>
    <row r="573"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</row>
    <row r="574"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</row>
    <row r="575"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</row>
    <row r="576"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</row>
    <row r="577"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</row>
    <row r="578"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</row>
    <row r="579"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</row>
    <row r="580"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</row>
    <row r="581"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</row>
    <row r="582"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</row>
    <row r="583"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</row>
    <row r="584"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</row>
    <row r="585"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</row>
    <row r="586"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</row>
    <row r="587"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</row>
    <row r="588"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</row>
    <row r="589"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</row>
    <row r="590"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</row>
    <row r="591"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</row>
    <row r="592"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</row>
    <row r="593"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</row>
    <row r="594"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</row>
    <row r="595"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</row>
    <row r="596"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</row>
    <row r="597"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</row>
    <row r="598"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</row>
    <row r="599"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</row>
    <row r="600"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</row>
    <row r="601"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</row>
    <row r="602"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</row>
    <row r="603"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</row>
    <row r="604"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</row>
    <row r="605"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</row>
    <row r="606"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</row>
    <row r="607"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</row>
    <row r="608"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</row>
    <row r="609"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</row>
    <row r="610"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</row>
    <row r="611"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</row>
    <row r="612"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</row>
    <row r="613"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</row>
    <row r="614"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</row>
    <row r="615"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</row>
    <row r="616"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</row>
    <row r="617"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</row>
    <row r="618"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</row>
    <row r="619"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</row>
    <row r="620"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</row>
    <row r="621"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</row>
    <row r="622"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</row>
    <row r="623"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</row>
    <row r="624"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</row>
    <row r="625"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</row>
    <row r="626"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</row>
    <row r="627"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</row>
    <row r="628"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</row>
    <row r="629"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</row>
    <row r="630"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</row>
    <row r="631"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</row>
    <row r="632"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</row>
    <row r="633"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</row>
    <row r="634"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</row>
    <row r="635"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</row>
    <row r="636"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</row>
    <row r="637"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</row>
    <row r="638"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</row>
    <row r="639"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</row>
    <row r="640"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</row>
    <row r="641"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</row>
    <row r="642"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</row>
    <row r="643"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</row>
    <row r="644"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</row>
    <row r="645"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</row>
    <row r="646"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</row>
    <row r="647"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</row>
    <row r="648"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</row>
    <row r="649"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</row>
    <row r="650"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</row>
    <row r="651"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</row>
    <row r="652"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</row>
    <row r="653"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</row>
    <row r="654"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</row>
    <row r="655"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</row>
    <row r="656"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</row>
    <row r="657"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</row>
    <row r="658"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</row>
    <row r="659"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</row>
    <row r="660"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</row>
    <row r="661"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</row>
    <row r="662"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</row>
    <row r="663"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</row>
    <row r="664"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</row>
    <row r="665"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</row>
    <row r="666"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</row>
    <row r="667"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</row>
    <row r="668"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</row>
    <row r="669"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</row>
    <row r="670"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</row>
    <row r="671"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</row>
    <row r="672"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</row>
    <row r="673"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</row>
    <row r="674"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</row>
    <row r="675"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</row>
    <row r="676"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</row>
    <row r="677"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</row>
    <row r="678"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</row>
    <row r="679"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</row>
    <row r="680"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</row>
    <row r="681"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</row>
    <row r="682"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</row>
    <row r="683"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</row>
    <row r="684"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</row>
    <row r="685"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</row>
    <row r="686"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</row>
    <row r="687"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</row>
    <row r="688"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</row>
    <row r="689"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</row>
    <row r="690"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</row>
    <row r="691"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</row>
    <row r="692"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</row>
    <row r="693"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</row>
    <row r="694"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</row>
    <row r="695"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</row>
    <row r="696"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</row>
    <row r="697"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</row>
    <row r="698"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</row>
    <row r="699"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</row>
    <row r="700"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</row>
    <row r="701"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</row>
    <row r="702"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</row>
    <row r="703"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</row>
    <row r="704"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</row>
    <row r="705"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</row>
    <row r="706"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</row>
    <row r="707"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</row>
    <row r="708"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</row>
    <row r="709"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</row>
    <row r="710"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</row>
    <row r="711"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</row>
    <row r="712"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</row>
    <row r="713"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</row>
    <row r="714"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</row>
    <row r="715"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</row>
    <row r="716"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</row>
    <row r="717"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</row>
    <row r="718"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</row>
    <row r="719"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</row>
    <row r="720"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</row>
    <row r="721"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</row>
    <row r="722"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</row>
    <row r="723"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</row>
    <row r="724"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</row>
    <row r="725"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</row>
    <row r="726"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</row>
    <row r="727"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</row>
    <row r="728"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</row>
    <row r="729"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</row>
    <row r="730"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</row>
    <row r="731"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</row>
    <row r="732"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</row>
    <row r="733"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</row>
    <row r="734"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</row>
    <row r="735"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</row>
    <row r="736"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</row>
    <row r="737"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</row>
    <row r="738"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</row>
    <row r="739"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</row>
    <row r="740"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</row>
    <row r="741"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</row>
    <row r="742"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</row>
    <row r="743"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</row>
    <row r="744"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</row>
    <row r="745"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</row>
    <row r="746"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</row>
    <row r="747"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</row>
    <row r="748"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</row>
    <row r="749"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</row>
    <row r="750"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</row>
    <row r="751"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</row>
    <row r="752"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</row>
    <row r="753"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</row>
    <row r="754"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</row>
    <row r="755"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</row>
    <row r="756"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</row>
    <row r="757"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</row>
    <row r="758"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</row>
    <row r="759"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</row>
    <row r="760"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</row>
    <row r="761"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</row>
    <row r="762"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</row>
    <row r="763"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</row>
    <row r="764"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</row>
    <row r="765"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</row>
    <row r="766"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</row>
    <row r="767"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</row>
    <row r="768"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</row>
    <row r="769"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</row>
    <row r="770"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</row>
    <row r="771"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</row>
    <row r="772"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</row>
    <row r="773"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</row>
    <row r="774"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</row>
    <row r="775"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</row>
    <row r="776"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</row>
    <row r="777"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</row>
    <row r="778"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</row>
    <row r="779"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</row>
    <row r="780"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</row>
    <row r="781"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</row>
    <row r="782"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</row>
    <row r="783"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</row>
    <row r="784"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</row>
    <row r="785"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</row>
    <row r="786"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</row>
    <row r="787"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</row>
    <row r="788"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</row>
    <row r="789"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</row>
    <row r="790"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</row>
    <row r="791"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</row>
    <row r="792"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</row>
    <row r="793"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</row>
    <row r="794"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</row>
    <row r="795"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</row>
    <row r="796"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</row>
    <row r="797"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</row>
    <row r="798"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</row>
    <row r="799"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</row>
    <row r="800"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</row>
    <row r="801"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</row>
    <row r="802"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</row>
    <row r="803"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</row>
    <row r="804"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</row>
    <row r="805"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</row>
    <row r="806"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</row>
    <row r="807"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</row>
    <row r="808"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</row>
    <row r="809"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</row>
    <row r="810"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</row>
    <row r="811"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</row>
    <row r="812"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</row>
    <row r="813"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</row>
    <row r="814"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</row>
    <row r="815"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</row>
    <row r="816"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</row>
    <row r="817"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</row>
    <row r="818"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</row>
    <row r="819"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</row>
    <row r="820"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</row>
    <row r="821"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</row>
    <row r="822"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</row>
    <row r="823"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</row>
    <row r="824"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</row>
    <row r="825"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</row>
    <row r="826"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</row>
    <row r="827"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</row>
    <row r="828"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</row>
    <row r="829"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</row>
    <row r="830"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</row>
    <row r="831"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</row>
    <row r="832"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</row>
    <row r="833"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</row>
    <row r="834"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</row>
    <row r="835"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</row>
    <row r="836"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</row>
    <row r="837"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</row>
    <row r="838"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</row>
    <row r="839"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</row>
    <row r="840"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</row>
    <row r="841"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</row>
    <row r="842"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</row>
    <row r="843"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</row>
    <row r="844"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</row>
    <row r="845"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</row>
    <row r="846"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</row>
    <row r="847"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</row>
    <row r="848"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</row>
    <row r="849"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</row>
    <row r="850"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</row>
    <row r="851"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</row>
    <row r="852"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</row>
    <row r="853"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</row>
    <row r="854"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</row>
    <row r="855"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</row>
    <row r="856"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</row>
    <row r="857"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</row>
    <row r="858"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</row>
    <row r="859"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</row>
    <row r="860"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</row>
    <row r="861"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</row>
    <row r="862"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</row>
    <row r="863"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</row>
    <row r="864"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</row>
    <row r="865"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</row>
    <row r="866"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</row>
    <row r="867"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</row>
    <row r="868"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</row>
    <row r="869"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</row>
    <row r="870"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</row>
    <row r="871"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</row>
    <row r="872"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</row>
    <row r="873"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</row>
    <row r="874"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</row>
    <row r="875"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</row>
    <row r="876"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</row>
    <row r="877"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</row>
    <row r="878"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</row>
    <row r="879"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</row>
    <row r="880"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</row>
    <row r="881"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</row>
    <row r="882"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</row>
    <row r="883"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</row>
    <row r="884"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</row>
    <row r="885"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</row>
    <row r="886"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</row>
    <row r="887"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</row>
    <row r="888"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</row>
    <row r="889"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</row>
    <row r="890"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</row>
    <row r="891"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</row>
    <row r="892"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</row>
    <row r="893"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</row>
    <row r="894"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</row>
    <row r="895"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</row>
    <row r="896"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</row>
    <row r="897"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</row>
    <row r="898"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</row>
    <row r="899"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</row>
    <row r="900"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</row>
    <row r="901"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</row>
    <row r="902"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</row>
    <row r="903"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</row>
    <row r="904"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</row>
    <row r="905"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</row>
    <row r="906"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</row>
    <row r="907"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</row>
    <row r="908"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</row>
    <row r="909"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</row>
    <row r="910"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</row>
    <row r="911"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</row>
    <row r="912"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</row>
    <row r="913"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</row>
    <row r="914"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</row>
    <row r="915"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</row>
    <row r="916"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</row>
    <row r="917"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</row>
    <row r="918"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</row>
    <row r="919"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</row>
    <row r="920"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</row>
    <row r="921"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</row>
    <row r="922"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</row>
    <row r="923"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</row>
    <row r="924"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</row>
    <row r="925"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</row>
    <row r="926"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</row>
    <row r="927"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</row>
    <row r="928"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</row>
    <row r="929"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</row>
    <row r="930"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</row>
    <row r="931"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</row>
    <row r="932"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</row>
    <row r="933"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</row>
    <row r="934"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</row>
    <row r="935"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</row>
    <row r="936"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</row>
    <row r="937"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</row>
    <row r="938"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</row>
    <row r="939"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</row>
    <row r="940"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</row>
    <row r="941"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</row>
    <row r="942"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</row>
    <row r="943"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</row>
    <row r="944"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</row>
    <row r="945"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</row>
    <row r="946"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</row>
    <row r="947"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</row>
    <row r="948"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</row>
    <row r="949"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</row>
    <row r="950"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</row>
    <row r="951"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</row>
    <row r="952"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</row>
    <row r="953"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</row>
    <row r="954"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</row>
    <row r="955"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</row>
    <row r="956"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</row>
    <row r="957"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</row>
    <row r="958"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</row>
    <row r="959"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</row>
    <row r="960"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</row>
    <row r="961"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</row>
    <row r="962"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</row>
    <row r="963"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</row>
    <row r="964"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</row>
    <row r="965"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</row>
    <row r="966"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</row>
    <row r="967"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</row>
    <row r="968"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</row>
    <row r="969"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</row>
    <row r="970"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</row>
    <row r="971"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</row>
    <row r="972"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</row>
    <row r="973"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</row>
    <row r="974"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</row>
    <row r="975"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</row>
    <row r="976"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</row>
    <row r="977"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</row>
    <row r="978"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</row>
    <row r="979"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</row>
    <row r="980"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</row>
    <row r="981"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</row>
    <row r="982"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</row>
    <row r="983"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</row>
    <row r="984"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</row>
    <row r="985"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</row>
    <row r="986"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</row>
    <row r="987"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</row>
    <row r="988"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</row>
    <row r="989"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</row>
    <row r="990"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</row>
    <row r="991"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</row>
    <row r="992"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</row>
    <row r="993"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</row>
    <row r="994"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</row>
    <row r="995"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</row>
    <row r="996"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</row>
    <row r="997"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</row>
    <row r="998"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</row>
    <row r="999"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</row>
    <row r="1000"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</row>
    <row r="1001">
      <c r="AD1001" s="28"/>
      <c r="AE1001" s="28"/>
      <c r="AF1001" s="28"/>
      <c r="AG1001" s="28"/>
      <c r="AH1001" s="28"/>
      <c r="AI1001" s="28"/>
      <c r="AJ1001" s="28"/>
      <c r="AK1001" s="28"/>
      <c r="AL1001" s="28"/>
      <c r="AM1001" s="28"/>
      <c r="AN1001" s="28"/>
      <c r="AO1001" s="28"/>
      <c r="AP1001" s="28"/>
    </row>
    <row r="1002">
      <c r="AD1002" s="28"/>
      <c r="AE1002" s="28"/>
      <c r="AF1002" s="28"/>
      <c r="AG1002" s="28"/>
      <c r="AH1002" s="28"/>
      <c r="AI1002" s="28"/>
      <c r="AJ1002" s="28"/>
      <c r="AK1002" s="28"/>
      <c r="AL1002" s="28"/>
      <c r="AM1002" s="28"/>
      <c r="AN1002" s="28"/>
      <c r="AO1002" s="28"/>
      <c r="AP1002" s="28"/>
    </row>
  </sheetData>
  <mergeCells count="23">
    <mergeCell ref="I3:AG3"/>
    <mergeCell ref="A1:H3"/>
    <mergeCell ref="I1:N1"/>
    <mergeCell ref="O1:V1"/>
    <mergeCell ref="W1:AC1"/>
    <mergeCell ref="AD1:AG1"/>
    <mergeCell ref="I2:N2"/>
    <mergeCell ref="O2:V2"/>
    <mergeCell ref="J5:P5"/>
    <mergeCell ref="Q5:W5"/>
    <mergeCell ref="AM18:AP18"/>
    <mergeCell ref="A18:B18"/>
    <mergeCell ref="A19:B19"/>
    <mergeCell ref="A20:B20"/>
    <mergeCell ref="A5:B7"/>
    <mergeCell ref="C5:I5"/>
    <mergeCell ref="AE5:AK5"/>
    <mergeCell ref="AM19:AP26"/>
    <mergeCell ref="AM5:AP6"/>
    <mergeCell ref="A4:AG4"/>
    <mergeCell ref="W2:AC2"/>
    <mergeCell ref="AD2:AG2"/>
    <mergeCell ref="X5:AD5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26.25"/>
    <col customWidth="1" min="3" max="22" width="4.13"/>
    <col customWidth="1" min="23" max="23" width="4.5"/>
    <col customWidth="1" min="24" max="35" width="4.13"/>
    <col customWidth="1" min="36" max="36" width="5.38"/>
    <col customWidth="1" min="37" max="37" width="3.75"/>
    <col customWidth="1" min="38" max="38" width="5.25"/>
    <col customWidth="1" min="39" max="39" width="4.5"/>
    <col customWidth="1" min="40" max="40" width="4.75"/>
    <col customWidth="1" min="41" max="41" width="6.88"/>
    <col customWidth="1" min="42" max="42" width="13.25"/>
  </cols>
  <sheetData>
    <row r="1" ht="36.75" customHeight="1">
      <c r="A1" s="1" t="s">
        <v>0</v>
      </c>
      <c r="I1" s="2" t="s">
        <v>1</v>
      </c>
      <c r="O1" s="2" t="s">
        <v>2</v>
      </c>
      <c r="W1" s="2" t="s">
        <v>3</v>
      </c>
      <c r="AD1" s="2" t="s">
        <v>4</v>
      </c>
      <c r="AH1" s="3"/>
      <c r="AI1" s="3"/>
      <c r="AJ1" s="3"/>
      <c r="AK1" s="3"/>
      <c r="AL1" s="3"/>
    </row>
    <row r="2">
      <c r="I2" s="2">
        <v>8.0</v>
      </c>
      <c r="O2" s="4">
        <f>COUNTIF(C8:AG12, TRUE)</f>
        <v>0</v>
      </c>
      <c r="W2" s="5" t="str">
        <f>IFERROR(__xludf.DUMMYFUNCTION("SPARKLINE(AD2, {""charttype"",""bar""; ""max"",1;""color1"",""green""; ""empty"",""zero""})"),"")</f>
        <v/>
      </c>
      <c r="X2" s="6"/>
      <c r="Y2" s="6"/>
      <c r="Z2" s="6"/>
      <c r="AA2" s="6"/>
      <c r="AB2" s="6"/>
      <c r="AC2" s="7"/>
      <c r="AD2" s="8">
        <f>SUM(O2) / (COUNTA(C8:AG8) * ROWS(C8:AG15))</f>
        <v>0</v>
      </c>
      <c r="AH2" s="3"/>
      <c r="AI2" s="3"/>
      <c r="AJ2" s="3"/>
      <c r="AK2" s="3"/>
      <c r="AL2" s="3"/>
    </row>
    <row r="3">
      <c r="I3" s="9"/>
      <c r="AH3" s="3"/>
      <c r="AI3" s="3"/>
      <c r="AJ3" s="3"/>
      <c r="AK3" s="3"/>
      <c r="AL3" s="3"/>
    </row>
    <row r="4">
      <c r="A4" s="10"/>
      <c r="AH4" s="3"/>
      <c r="AI4" s="3"/>
      <c r="AJ4" s="3"/>
      <c r="AK4" s="3"/>
      <c r="AL4" s="3"/>
      <c r="AM4" s="3"/>
      <c r="AN4" s="3"/>
      <c r="AO4" s="3"/>
      <c r="AP4" s="3"/>
    </row>
    <row r="5">
      <c r="A5" s="11" t="s">
        <v>5</v>
      </c>
      <c r="C5" s="12" t="s">
        <v>6</v>
      </c>
      <c r="J5" s="11" t="s">
        <v>7</v>
      </c>
      <c r="Q5" s="12" t="s">
        <v>8</v>
      </c>
      <c r="X5" s="11" t="s">
        <v>9</v>
      </c>
      <c r="AE5" s="12" t="s">
        <v>10</v>
      </c>
      <c r="AM5" s="13" t="s">
        <v>11</v>
      </c>
    </row>
    <row r="6"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2" t="s">
        <v>17</v>
      </c>
      <c r="I6" s="12" t="s">
        <v>18</v>
      </c>
      <c r="J6" s="11" t="s">
        <v>12</v>
      </c>
      <c r="K6" s="11" t="s">
        <v>13</v>
      </c>
      <c r="L6" s="11" t="s">
        <v>14</v>
      </c>
      <c r="M6" s="11" t="s">
        <v>15</v>
      </c>
      <c r="N6" s="11" t="s">
        <v>16</v>
      </c>
      <c r="O6" s="11" t="s">
        <v>17</v>
      </c>
      <c r="P6" s="11" t="s">
        <v>18</v>
      </c>
      <c r="Q6" s="12" t="s">
        <v>12</v>
      </c>
      <c r="R6" s="12" t="s">
        <v>13</v>
      </c>
      <c r="S6" s="12" t="s">
        <v>14</v>
      </c>
      <c r="T6" s="12" t="s">
        <v>15</v>
      </c>
      <c r="U6" s="12" t="s">
        <v>16</v>
      </c>
      <c r="V6" s="12" t="s">
        <v>17</v>
      </c>
      <c r="W6" s="12" t="s">
        <v>18</v>
      </c>
      <c r="X6" s="11" t="s">
        <v>12</v>
      </c>
      <c r="Y6" s="11" t="s">
        <v>13</v>
      </c>
      <c r="Z6" s="11" t="s">
        <v>14</v>
      </c>
      <c r="AA6" s="11" t="s">
        <v>15</v>
      </c>
      <c r="AB6" s="11" t="s">
        <v>16</v>
      </c>
      <c r="AC6" s="11" t="s">
        <v>17</v>
      </c>
      <c r="AD6" s="11" t="s">
        <v>18</v>
      </c>
      <c r="AE6" s="12" t="s">
        <v>12</v>
      </c>
      <c r="AF6" s="12" t="s">
        <v>13</v>
      </c>
      <c r="AG6" s="12" t="s">
        <v>14</v>
      </c>
      <c r="AH6" s="12" t="s">
        <v>15</v>
      </c>
      <c r="AI6" s="12" t="s">
        <v>16</v>
      </c>
      <c r="AJ6" s="12" t="s">
        <v>17</v>
      </c>
      <c r="AK6" s="12" t="s">
        <v>18</v>
      </c>
      <c r="AL6" s="3"/>
    </row>
    <row r="7">
      <c r="C7" s="12">
        <v>30.0</v>
      </c>
      <c r="D7" s="12">
        <v>1.0</v>
      </c>
      <c r="E7" s="12">
        <v>2.0</v>
      </c>
      <c r="F7" s="12">
        <v>3.0</v>
      </c>
      <c r="G7" s="12">
        <v>4.0</v>
      </c>
      <c r="H7" s="12">
        <v>5.0</v>
      </c>
      <c r="I7" s="12">
        <v>6.0</v>
      </c>
      <c r="J7" s="11">
        <v>7.0</v>
      </c>
      <c r="K7" s="11">
        <v>8.0</v>
      </c>
      <c r="L7" s="11">
        <v>9.0</v>
      </c>
      <c r="M7" s="11">
        <v>10.0</v>
      </c>
      <c r="N7" s="11">
        <v>11.0</v>
      </c>
      <c r="O7" s="11">
        <v>12.0</v>
      </c>
      <c r="P7" s="11">
        <v>13.0</v>
      </c>
      <c r="Q7" s="12">
        <v>14.0</v>
      </c>
      <c r="R7" s="12">
        <v>15.0</v>
      </c>
      <c r="S7" s="12">
        <v>16.0</v>
      </c>
      <c r="T7" s="12">
        <v>17.0</v>
      </c>
      <c r="U7" s="12">
        <v>18.0</v>
      </c>
      <c r="V7" s="12">
        <v>19.0</v>
      </c>
      <c r="W7" s="12">
        <v>20.0</v>
      </c>
      <c r="X7" s="11">
        <v>21.0</v>
      </c>
      <c r="Y7" s="11">
        <v>22.0</v>
      </c>
      <c r="Z7" s="11">
        <v>23.0</v>
      </c>
      <c r="AA7" s="11">
        <v>24.0</v>
      </c>
      <c r="AB7" s="11">
        <v>25.0</v>
      </c>
      <c r="AC7" s="11">
        <v>26.0</v>
      </c>
      <c r="AD7" s="11">
        <v>27.0</v>
      </c>
      <c r="AE7" s="12">
        <v>28.0</v>
      </c>
      <c r="AF7" s="12">
        <v>29.0</v>
      </c>
      <c r="AG7" s="12">
        <v>30.0</v>
      </c>
      <c r="AH7" s="12">
        <v>31.0</v>
      </c>
      <c r="AI7" s="12">
        <v>1.0</v>
      </c>
      <c r="AJ7" s="12">
        <v>2.0</v>
      </c>
      <c r="AK7" s="12">
        <v>3.0</v>
      </c>
      <c r="AL7" s="3"/>
      <c r="AM7" s="14" t="s">
        <v>19</v>
      </c>
      <c r="AN7" s="14" t="s">
        <v>20</v>
      </c>
      <c r="AO7" s="14" t="s">
        <v>21</v>
      </c>
      <c r="AP7" s="14" t="s">
        <v>3</v>
      </c>
    </row>
    <row r="8">
      <c r="A8" s="15">
        <v>1.0</v>
      </c>
      <c r="B8" s="15" t="s">
        <v>22</v>
      </c>
      <c r="C8" s="16" t="b">
        <v>0</v>
      </c>
      <c r="D8" s="16" t="b">
        <v>0</v>
      </c>
      <c r="E8" s="16" t="b">
        <v>0</v>
      </c>
      <c r="F8" s="16" t="b">
        <v>0</v>
      </c>
      <c r="G8" s="16" t="b">
        <v>0</v>
      </c>
      <c r="H8" s="16" t="b">
        <v>0</v>
      </c>
      <c r="I8" s="16" t="b">
        <v>0</v>
      </c>
      <c r="J8" s="17" t="b">
        <v>0</v>
      </c>
      <c r="K8" s="17" t="b">
        <v>0</v>
      </c>
      <c r="L8" s="17" t="b">
        <v>0</v>
      </c>
      <c r="M8" s="17" t="b">
        <v>0</v>
      </c>
      <c r="N8" s="17" t="b">
        <v>0</v>
      </c>
      <c r="O8" s="17" t="b">
        <v>0</v>
      </c>
      <c r="P8" s="17" t="b">
        <v>0</v>
      </c>
      <c r="Q8" s="16" t="b">
        <v>0</v>
      </c>
      <c r="R8" s="16" t="b">
        <v>0</v>
      </c>
      <c r="S8" s="16" t="b">
        <v>0</v>
      </c>
      <c r="T8" s="16" t="b">
        <v>0</v>
      </c>
      <c r="U8" s="16" t="b">
        <v>0</v>
      </c>
      <c r="V8" s="16" t="b">
        <v>0</v>
      </c>
      <c r="W8" s="16" t="b">
        <v>0</v>
      </c>
      <c r="X8" s="17" t="b">
        <v>0</v>
      </c>
      <c r="Y8" s="17" t="b">
        <v>0</v>
      </c>
      <c r="Z8" s="17" t="b">
        <v>0</v>
      </c>
      <c r="AA8" s="17" t="b">
        <v>0</v>
      </c>
      <c r="AB8" s="17" t="b">
        <v>0</v>
      </c>
      <c r="AC8" s="17" t="b">
        <v>0</v>
      </c>
      <c r="AD8" s="17" t="b">
        <v>0</v>
      </c>
      <c r="AE8" s="16" t="b">
        <v>0</v>
      </c>
      <c r="AF8" s="16" t="b">
        <v>0</v>
      </c>
      <c r="AG8" s="16" t="b">
        <v>0</v>
      </c>
      <c r="AH8" s="16" t="b">
        <v>0</v>
      </c>
      <c r="AI8" s="16" t="b">
        <v>0</v>
      </c>
      <c r="AJ8" s="16" t="b">
        <v>0</v>
      </c>
      <c r="AK8" s="16" t="b">
        <v>0</v>
      </c>
      <c r="AL8" s="3"/>
      <c r="AM8" s="18">
        <v>31.0</v>
      </c>
      <c r="AN8" s="18">
        <f t="shared" ref="AN8:AN15" si="1">COUNTIF(C8:AK8, TRUE)</f>
        <v>0</v>
      </c>
      <c r="AO8" s="19">
        <f t="shared" ref="AO8:AO15" si="2">SUM(AN8 / (COUNTA(C8:AK8) * ROWS(C8:AK8)))</f>
        <v>0</v>
      </c>
      <c r="AP8" s="20" t="str">
        <f>IFERROR(__xludf.DUMMYFUNCTION("SPARKLINE(AO8, {""charttype"",""bar""; ""max"",1;""color1"",""green""; ""empty"",""zero""})"),"")</f>
        <v/>
      </c>
    </row>
    <row r="9">
      <c r="A9" s="15">
        <v>2.0</v>
      </c>
      <c r="B9" s="15" t="s">
        <v>23</v>
      </c>
      <c r="C9" s="16" t="b">
        <v>0</v>
      </c>
      <c r="D9" s="21" t="b">
        <v>0</v>
      </c>
      <c r="E9" s="16" t="b">
        <v>0</v>
      </c>
      <c r="F9" s="21" t="b">
        <v>0</v>
      </c>
      <c r="G9" s="16" t="b">
        <v>0</v>
      </c>
      <c r="H9" s="21" t="b">
        <v>0</v>
      </c>
      <c r="I9" s="21" t="b">
        <v>0</v>
      </c>
      <c r="J9" s="22" t="b">
        <v>0</v>
      </c>
      <c r="K9" s="22" t="b">
        <v>0</v>
      </c>
      <c r="L9" s="22" t="b">
        <v>0</v>
      </c>
      <c r="M9" s="22" t="b">
        <v>0</v>
      </c>
      <c r="N9" s="22" t="b">
        <v>0</v>
      </c>
      <c r="O9" s="17" t="b">
        <v>0</v>
      </c>
      <c r="P9" s="17" t="b">
        <v>0</v>
      </c>
      <c r="Q9" s="21" t="b">
        <v>0</v>
      </c>
      <c r="R9" s="16" t="b">
        <v>0</v>
      </c>
      <c r="S9" s="16" t="b">
        <v>0</v>
      </c>
      <c r="T9" s="21" t="b">
        <v>0</v>
      </c>
      <c r="U9" s="16" t="b">
        <v>0</v>
      </c>
      <c r="V9" s="16" t="b">
        <v>0</v>
      </c>
      <c r="W9" s="21" t="b">
        <v>0</v>
      </c>
      <c r="X9" s="17" t="b">
        <v>0</v>
      </c>
      <c r="Y9" s="22" t="b">
        <v>0</v>
      </c>
      <c r="Z9" s="22" t="b">
        <v>0</v>
      </c>
      <c r="AA9" s="22" t="b">
        <v>0</v>
      </c>
      <c r="AB9" s="22" t="b">
        <v>0</v>
      </c>
      <c r="AC9" s="22" t="b">
        <v>0</v>
      </c>
      <c r="AD9" s="22" t="b">
        <v>0</v>
      </c>
      <c r="AE9" s="21" t="b">
        <v>0</v>
      </c>
      <c r="AF9" s="21" t="b">
        <v>0</v>
      </c>
      <c r="AG9" s="21" t="b">
        <v>0</v>
      </c>
      <c r="AH9" s="21" t="b">
        <v>0</v>
      </c>
      <c r="AI9" s="21" t="b">
        <v>0</v>
      </c>
      <c r="AJ9" s="16" t="b">
        <v>0</v>
      </c>
      <c r="AK9" s="21" t="b">
        <v>0</v>
      </c>
      <c r="AL9" s="3"/>
      <c r="AM9" s="18">
        <v>31.0</v>
      </c>
      <c r="AN9" s="18">
        <f t="shared" si="1"/>
        <v>0</v>
      </c>
      <c r="AO9" s="19">
        <f t="shared" si="2"/>
        <v>0</v>
      </c>
      <c r="AP9" s="20" t="str">
        <f>IFERROR(__xludf.DUMMYFUNCTION("SPARKLINE(AO9, {""charttype"",""bar""; ""max"",1;""color1"",""green""; ""empty"",""zero""})"),"")</f>
        <v/>
      </c>
    </row>
    <row r="10">
      <c r="A10" s="15">
        <v>3.0</v>
      </c>
      <c r="B10" s="15" t="s">
        <v>24</v>
      </c>
      <c r="C10" s="16" t="b">
        <v>0</v>
      </c>
      <c r="D10" s="21" t="b">
        <v>0</v>
      </c>
      <c r="E10" s="16" t="b">
        <v>0</v>
      </c>
      <c r="F10" s="21" t="b">
        <v>0</v>
      </c>
      <c r="G10" s="16" t="b">
        <v>0</v>
      </c>
      <c r="H10" s="21" t="b">
        <v>0</v>
      </c>
      <c r="I10" s="16" t="b">
        <v>0</v>
      </c>
      <c r="J10" s="22" t="b">
        <v>0</v>
      </c>
      <c r="K10" s="22" t="b">
        <v>0</v>
      </c>
      <c r="L10" s="22" t="b">
        <v>0</v>
      </c>
      <c r="M10" s="22" t="b">
        <v>0</v>
      </c>
      <c r="N10" s="22" t="b">
        <v>0</v>
      </c>
      <c r="O10" s="22" t="b">
        <v>0</v>
      </c>
      <c r="P10" s="17" t="b">
        <v>0</v>
      </c>
      <c r="Q10" s="21" t="b">
        <v>0</v>
      </c>
      <c r="R10" s="21" t="b">
        <v>0</v>
      </c>
      <c r="S10" s="16" t="b">
        <v>0</v>
      </c>
      <c r="T10" s="21" t="b">
        <v>0</v>
      </c>
      <c r="U10" s="16" t="b">
        <v>0</v>
      </c>
      <c r="V10" s="16" t="b">
        <v>0</v>
      </c>
      <c r="W10" s="21" t="b">
        <v>0</v>
      </c>
      <c r="X10" s="17" t="b">
        <v>0</v>
      </c>
      <c r="Y10" s="22" t="b">
        <v>0</v>
      </c>
      <c r="Z10" s="22" t="b">
        <v>0</v>
      </c>
      <c r="AA10" s="22" t="b">
        <v>0</v>
      </c>
      <c r="AB10" s="22" t="b">
        <v>0</v>
      </c>
      <c r="AC10" s="22" t="b">
        <v>0</v>
      </c>
      <c r="AD10" s="22" t="b">
        <v>0</v>
      </c>
      <c r="AE10" s="21" t="b">
        <v>0</v>
      </c>
      <c r="AF10" s="21" t="b">
        <v>0</v>
      </c>
      <c r="AG10" s="21" t="b">
        <v>0</v>
      </c>
      <c r="AH10" s="21" t="b">
        <v>0</v>
      </c>
      <c r="AI10" s="16" t="b">
        <v>0</v>
      </c>
      <c r="AJ10" s="16" t="b">
        <v>0</v>
      </c>
      <c r="AK10" s="21" t="b">
        <v>0</v>
      </c>
      <c r="AM10" s="18">
        <v>31.0</v>
      </c>
      <c r="AN10" s="18">
        <f t="shared" si="1"/>
        <v>0</v>
      </c>
      <c r="AO10" s="19">
        <f t="shared" si="2"/>
        <v>0</v>
      </c>
      <c r="AP10" s="20" t="str">
        <f>IFERROR(__xludf.DUMMYFUNCTION("SPARKLINE(AO10, {""charttype"",""bar""; ""max"",1;""color1"",""green""; ""empty"",""zero""})"),"")</f>
        <v/>
      </c>
    </row>
    <row r="11">
      <c r="A11" s="15">
        <v>4.0</v>
      </c>
      <c r="B11" s="15" t="s">
        <v>25</v>
      </c>
      <c r="C11" s="16" t="b">
        <v>0</v>
      </c>
      <c r="D11" s="16" t="b">
        <v>0</v>
      </c>
      <c r="E11" s="16" t="b">
        <v>0</v>
      </c>
      <c r="F11" s="16" t="b">
        <v>0</v>
      </c>
      <c r="G11" s="16" t="b">
        <v>0</v>
      </c>
      <c r="H11" s="16" t="b">
        <v>0</v>
      </c>
      <c r="I11" s="16" t="b">
        <v>0</v>
      </c>
      <c r="J11" s="22" t="b">
        <v>0</v>
      </c>
      <c r="K11" s="22" t="b">
        <v>0</v>
      </c>
      <c r="L11" s="22" t="b">
        <v>0</v>
      </c>
      <c r="M11" s="22" t="b">
        <v>0</v>
      </c>
      <c r="N11" s="17" t="b">
        <v>0</v>
      </c>
      <c r="O11" s="22" t="b">
        <v>0</v>
      </c>
      <c r="P11" s="22" t="b">
        <v>0</v>
      </c>
      <c r="Q11" s="21" t="b">
        <v>0</v>
      </c>
      <c r="R11" s="16" t="b">
        <v>0</v>
      </c>
      <c r="S11" s="16" t="b">
        <v>0</v>
      </c>
      <c r="T11" s="21" t="b">
        <v>0</v>
      </c>
      <c r="U11" s="16" t="b">
        <v>0</v>
      </c>
      <c r="V11" s="16" t="b">
        <v>0</v>
      </c>
      <c r="W11" s="21" t="b">
        <v>0</v>
      </c>
      <c r="X11" s="17" t="b">
        <v>0</v>
      </c>
      <c r="Y11" s="22" t="b">
        <v>0</v>
      </c>
      <c r="Z11" s="22" t="b">
        <v>0</v>
      </c>
      <c r="AA11" s="22" t="b">
        <v>0</v>
      </c>
      <c r="AB11" s="22" t="b">
        <v>0</v>
      </c>
      <c r="AC11" s="22" t="b">
        <v>0</v>
      </c>
      <c r="AD11" s="22" t="b">
        <v>0</v>
      </c>
      <c r="AE11" s="21" t="b">
        <v>0</v>
      </c>
      <c r="AF11" s="21" t="b">
        <v>0</v>
      </c>
      <c r="AG11" s="21" t="b">
        <v>0</v>
      </c>
      <c r="AH11" s="21" t="b">
        <v>0</v>
      </c>
      <c r="AI11" s="16" t="b">
        <v>0</v>
      </c>
      <c r="AJ11" s="21" t="b">
        <v>0</v>
      </c>
      <c r="AK11" s="21" t="b">
        <v>0</v>
      </c>
      <c r="AM11" s="18">
        <v>31.0</v>
      </c>
      <c r="AN11" s="18">
        <f t="shared" si="1"/>
        <v>0</v>
      </c>
      <c r="AO11" s="19">
        <f t="shared" si="2"/>
        <v>0</v>
      </c>
      <c r="AP11" s="20" t="str">
        <f>IFERROR(__xludf.DUMMYFUNCTION("SPARKLINE(AO11, {""charttype"",""bar""; ""max"",1;""color1"",""green""; ""empty"",""zero""})"),"")</f>
        <v/>
      </c>
    </row>
    <row r="12">
      <c r="A12" s="15">
        <v>5.0</v>
      </c>
      <c r="B12" s="15" t="s">
        <v>26</v>
      </c>
      <c r="C12" s="16" t="b">
        <v>0</v>
      </c>
      <c r="D12" s="16" t="b">
        <v>0</v>
      </c>
      <c r="E12" s="21" t="b">
        <v>0</v>
      </c>
      <c r="F12" s="21" t="b">
        <v>0</v>
      </c>
      <c r="G12" s="16" t="b">
        <v>0</v>
      </c>
      <c r="H12" s="16" t="b">
        <v>0</v>
      </c>
      <c r="I12" s="16" t="b">
        <v>0</v>
      </c>
      <c r="J12" s="22" t="b">
        <v>0</v>
      </c>
      <c r="K12" s="22" t="b">
        <v>0</v>
      </c>
      <c r="L12" s="17" t="b">
        <v>0</v>
      </c>
      <c r="M12" s="17" t="b">
        <v>0</v>
      </c>
      <c r="N12" s="17" t="b">
        <v>0</v>
      </c>
      <c r="O12" s="22" t="b">
        <v>0</v>
      </c>
      <c r="P12" s="22" t="b">
        <v>0</v>
      </c>
      <c r="Q12" s="16" t="b">
        <v>0</v>
      </c>
      <c r="R12" s="16" t="b">
        <v>0</v>
      </c>
      <c r="S12" s="21" t="b">
        <v>0</v>
      </c>
      <c r="T12" s="21" t="b">
        <v>0</v>
      </c>
      <c r="U12" s="16" t="b">
        <v>0</v>
      </c>
      <c r="V12" s="16" t="b">
        <v>0</v>
      </c>
      <c r="W12" s="21" t="b">
        <v>0</v>
      </c>
      <c r="X12" s="17" t="b">
        <v>0</v>
      </c>
      <c r="Y12" s="22" t="b">
        <v>0</v>
      </c>
      <c r="Z12" s="22" t="b">
        <v>0</v>
      </c>
      <c r="AA12" s="22" t="b">
        <v>0</v>
      </c>
      <c r="AB12" s="22" t="b">
        <v>0</v>
      </c>
      <c r="AC12" s="17" t="b">
        <v>0</v>
      </c>
      <c r="AD12" s="22" t="b">
        <v>0</v>
      </c>
      <c r="AE12" s="21" t="b">
        <v>0</v>
      </c>
      <c r="AF12" s="21" t="b">
        <v>0</v>
      </c>
      <c r="AG12" s="21" t="b">
        <v>0</v>
      </c>
      <c r="AH12" s="21" t="b">
        <v>0</v>
      </c>
      <c r="AI12" s="21" t="b">
        <v>0</v>
      </c>
      <c r="AJ12" s="21" t="b">
        <v>0</v>
      </c>
      <c r="AK12" s="21" t="b">
        <v>0</v>
      </c>
      <c r="AM12" s="18">
        <v>31.0</v>
      </c>
      <c r="AN12" s="18">
        <f t="shared" si="1"/>
        <v>0</v>
      </c>
      <c r="AO12" s="19">
        <f t="shared" si="2"/>
        <v>0</v>
      </c>
      <c r="AP12" s="20" t="str">
        <f>IFERROR(__xludf.DUMMYFUNCTION("SPARKLINE(AO12, {""charttype"",""bar""; ""max"",1;""color1"",""green""; ""empty"",""zero""})"),"")</f>
        <v/>
      </c>
    </row>
    <row r="13">
      <c r="A13" s="15">
        <v>6.0</v>
      </c>
      <c r="B13" s="15" t="s">
        <v>27</v>
      </c>
      <c r="C13" s="16" t="b">
        <v>1</v>
      </c>
      <c r="D13" s="21" t="b">
        <v>0</v>
      </c>
      <c r="E13" s="21" t="b">
        <v>0</v>
      </c>
      <c r="F13" s="21" t="b">
        <v>0</v>
      </c>
      <c r="G13" s="21" t="b">
        <v>0</v>
      </c>
      <c r="H13" s="21" t="b">
        <v>0</v>
      </c>
      <c r="I13" s="16" t="b">
        <v>0</v>
      </c>
      <c r="J13" s="17" t="b">
        <v>0</v>
      </c>
      <c r="K13" s="22" t="b">
        <v>0</v>
      </c>
      <c r="L13" s="22" t="b">
        <v>0</v>
      </c>
      <c r="M13" s="22" t="b">
        <v>0</v>
      </c>
      <c r="N13" s="17" t="b">
        <v>0</v>
      </c>
      <c r="O13" s="22" t="b">
        <v>0</v>
      </c>
      <c r="P13" s="22" t="b">
        <v>0</v>
      </c>
      <c r="Q13" s="21" t="b">
        <v>0</v>
      </c>
      <c r="R13" s="16" t="b">
        <v>0</v>
      </c>
      <c r="S13" s="21" t="b">
        <v>0</v>
      </c>
      <c r="T13" s="21" t="b">
        <v>0</v>
      </c>
      <c r="U13" s="16" t="b">
        <v>0</v>
      </c>
      <c r="V13" s="16" t="b">
        <v>0</v>
      </c>
      <c r="W13" s="21" t="b">
        <v>0</v>
      </c>
      <c r="X13" s="17" t="b">
        <v>0</v>
      </c>
      <c r="Y13" s="22" t="b">
        <v>0</v>
      </c>
      <c r="Z13" s="22" t="b">
        <v>0</v>
      </c>
      <c r="AA13" s="22" t="b">
        <v>0</v>
      </c>
      <c r="AB13" s="22" t="b">
        <v>0</v>
      </c>
      <c r="AC13" s="17" t="b">
        <v>0</v>
      </c>
      <c r="AD13" s="22" t="b">
        <v>0</v>
      </c>
      <c r="AE13" s="21" t="b">
        <v>0</v>
      </c>
      <c r="AF13" s="21" t="b">
        <v>0</v>
      </c>
      <c r="AG13" s="21" t="b">
        <v>0</v>
      </c>
      <c r="AH13" s="21" t="b">
        <v>0</v>
      </c>
      <c r="AI13" s="21" t="b">
        <v>0</v>
      </c>
      <c r="AJ13" s="21" t="b">
        <v>0</v>
      </c>
      <c r="AK13" s="21" t="b">
        <v>0</v>
      </c>
      <c r="AM13" s="18">
        <v>31.0</v>
      </c>
      <c r="AN13" s="18">
        <f t="shared" si="1"/>
        <v>1</v>
      </c>
      <c r="AO13" s="19">
        <f t="shared" si="2"/>
        <v>0.02857142857</v>
      </c>
      <c r="AP13" s="20" t="str">
        <f>IFERROR(__xludf.DUMMYFUNCTION("SPARKLINE(AO13, {""charttype"",""bar""; ""max"",1;""color1"",""green""; ""empty"",""zero""})"),"")</f>
        <v/>
      </c>
    </row>
    <row r="14">
      <c r="A14" s="15">
        <v>7.0</v>
      </c>
      <c r="B14" s="15" t="s">
        <v>28</v>
      </c>
      <c r="C14" s="16" t="b">
        <v>0</v>
      </c>
      <c r="D14" s="16" t="b">
        <v>0</v>
      </c>
      <c r="E14" s="21" t="b">
        <v>0</v>
      </c>
      <c r="F14" s="21" t="b">
        <v>0</v>
      </c>
      <c r="G14" s="16" t="b">
        <v>0</v>
      </c>
      <c r="H14" s="21" t="b">
        <v>0</v>
      </c>
      <c r="I14" s="21" t="b">
        <v>0</v>
      </c>
      <c r="J14" s="17" t="b">
        <v>0</v>
      </c>
      <c r="K14" s="22" t="b">
        <v>0</v>
      </c>
      <c r="L14" s="17" t="b">
        <v>0</v>
      </c>
      <c r="M14" s="17" t="b">
        <v>0</v>
      </c>
      <c r="N14" s="22" t="b">
        <v>0</v>
      </c>
      <c r="O14" s="22" t="b">
        <v>0</v>
      </c>
      <c r="P14" s="22" t="b">
        <v>0</v>
      </c>
      <c r="Q14" s="21" t="b">
        <v>0</v>
      </c>
      <c r="R14" s="16" t="b">
        <v>0</v>
      </c>
      <c r="S14" s="21" t="b">
        <v>0</v>
      </c>
      <c r="T14" s="21" t="b">
        <v>0</v>
      </c>
      <c r="U14" s="16" t="b">
        <v>0</v>
      </c>
      <c r="V14" s="16" t="b">
        <v>0</v>
      </c>
      <c r="W14" s="21" t="b">
        <v>0</v>
      </c>
      <c r="X14" s="17" t="b">
        <v>0</v>
      </c>
      <c r="Y14" s="22" t="b">
        <v>0</v>
      </c>
      <c r="Z14" s="22" t="b">
        <v>0</v>
      </c>
      <c r="AA14" s="22" t="b">
        <v>0</v>
      </c>
      <c r="AB14" s="22" t="b">
        <v>0</v>
      </c>
      <c r="AC14" s="17" t="b">
        <v>0</v>
      </c>
      <c r="AD14" s="22" t="b">
        <v>0</v>
      </c>
      <c r="AE14" s="21" t="b">
        <v>0</v>
      </c>
      <c r="AF14" s="21" t="b">
        <v>0</v>
      </c>
      <c r="AG14" s="16" t="b">
        <v>0</v>
      </c>
      <c r="AH14" s="21" t="b">
        <v>0</v>
      </c>
      <c r="AI14" s="21" t="b">
        <v>0</v>
      </c>
      <c r="AJ14" s="21" t="b">
        <v>0</v>
      </c>
      <c r="AK14" s="16" t="b">
        <v>0</v>
      </c>
      <c r="AM14" s="18">
        <v>31.0</v>
      </c>
      <c r="AN14" s="18">
        <f t="shared" si="1"/>
        <v>0</v>
      </c>
      <c r="AO14" s="19">
        <f t="shared" si="2"/>
        <v>0</v>
      </c>
      <c r="AP14" s="20" t="str">
        <f>IFERROR(__xludf.DUMMYFUNCTION("SPARKLINE(AO14, {""charttype"",""bar""; ""max"",1;""color1"",""green""; ""empty"",""zero""})"),"")</f>
        <v/>
      </c>
    </row>
    <row r="15">
      <c r="A15" s="15">
        <v>8.0</v>
      </c>
      <c r="B15" s="15" t="s">
        <v>29</v>
      </c>
      <c r="C15" s="16" t="b">
        <v>0</v>
      </c>
      <c r="D15" s="21" t="b">
        <v>0</v>
      </c>
      <c r="E15" s="21" t="b">
        <v>0</v>
      </c>
      <c r="F15" s="16" t="b">
        <v>0</v>
      </c>
      <c r="G15" s="21" t="b">
        <v>0</v>
      </c>
      <c r="H15" s="16" t="b">
        <v>0</v>
      </c>
      <c r="I15" s="21" t="b">
        <v>0</v>
      </c>
      <c r="J15" s="17" t="b">
        <v>0</v>
      </c>
      <c r="K15" s="22" t="b">
        <v>0</v>
      </c>
      <c r="L15" s="22" t="b">
        <v>0</v>
      </c>
      <c r="M15" s="17" t="b">
        <v>0</v>
      </c>
      <c r="N15" s="22" t="b">
        <v>0</v>
      </c>
      <c r="O15" s="22" t="b">
        <v>0</v>
      </c>
      <c r="P15" s="22" t="b">
        <v>0</v>
      </c>
      <c r="Q15" s="21" t="b">
        <v>0</v>
      </c>
      <c r="R15" s="16" t="b">
        <v>0</v>
      </c>
      <c r="S15" s="21" t="b">
        <v>0</v>
      </c>
      <c r="T15" s="21" t="b">
        <v>0</v>
      </c>
      <c r="U15" s="16" t="b">
        <v>0</v>
      </c>
      <c r="V15" s="16" t="b">
        <v>0</v>
      </c>
      <c r="W15" s="21" t="b">
        <v>0</v>
      </c>
      <c r="X15" s="17" t="b">
        <v>0</v>
      </c>
      <c r="Y15" s="22" t="b">
        <v>0</v>
      </c>
      <c r="Z15" s="22" t="b">
        <v>0</v>
      </c>
      <c r="AA15" s="22" t="b">
        <v>0</v>
      </c>
      <c r="AB15" s="22" t="b">
        <v>0</v>
      </c>
      <c r="AC15" s="17" t="b">
        <v>0</v>
      </c>
      <c r="AD15" s="22" t="b">
        <v>0</v>
      </c>
      <c r="AE15" s="21" t="b">
        <v>0</v>
      </c>
      <c r="AF15" s="21" t="b">
        <v>0</v>
      </c>
      <c r="AG15" s="16" t="b">
        <v>0</v>
      </c>
      <c r="AH15" s="21" t="b">
        <v>0</v>
      </c>
      <c r="AI15" s="21" t="b">
        <v>0</v>
      </c>
      <c r="AJ15" s="16" t="b">
        <v>0</v>
      </c>
      <c r="AK15" s="16" t="b">
        <v>0</v>
      </c>
      <c r="AM15" s="18">
        <v>31.0</v>
      </c>
      <c r="AN15" s="18">
        <f t="shared" si="1"/>
        <v>0</v>
      </c>
      <c r="AO15" s="19">
        <f t="shared" si="2"/>
        <v>0</v>
      </c>
      <c r="AP15" s="20" t="str">
        <f>IFERROR(__xludf.DUMMYFUNCTION("SPARKLINE(AO15, {""charttype"",""bar""; ""max"",1;""color1"",""green""; ""empty"",""zero""})"),"")</f>
        <v/>
      </c>
    </row>
    <row r="17">
      <c r="A17" s="23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>
      <c r="A18" s="15" t="s">
        <v>3</v>
      </c>
      <c r="C18" s="25">
        <f t="shared" ref="C18:AG18" si="3">IF(COUNTA(C8:C12)=0, 0, COUNTIF(C8:C12, TRUE)/COUNTA(C8:C12))</f>
        <v>0</v>
      </c>
      <c r="D18" s="25">
        <f t="shared" si="3"/>
        <v>0</v>
      </c>
      <c r="E18" s="25">
        <f t="shared" si="3"/>
        <v>0</v>
      </c>
      <c r="F18" s="25">
        <f t="shared" si="3"/>
        <v>0</v>
      </c>
      <c r="G18" s="25">
        <f t="shared" si="3"/>
        <v>0</v>
      </c>
      <c r="H18" s="25">
        <f t="shared" si="3"/>
        <v>0</v>
      </c>
      <c r="I18" s="25">
        <f t="shared" si="3"/>
        <v>0</v>
      </c>
      <c r="J18" s="25">
        <f t="shared" si="3"/>
        <v>0</v>
      </c>
      <c r="K18" s="25">
        <f t="shared" si="3"/>
        <v>0</v>
      </c>
      <c r="L18" s="25">
        <f t="shared" si="3"/>
        <v>0</v>
      </c>
      <c r="M18" s="25">
        <f t="shared" si="3"/>
        <v>0</v>
      </c>
      <c r="N18" s="25">
        <f t="shared" si="3"/>
        <v>0</v>
      </c>
      <c r="O18" s="25">
        <f t="shared" si="3"/>
        <v>0</v>
      </c>
      <c r="P18" s="25">
        <f t="shared" si="3"/>
        <v>0</v>
      </c>
      <c r="Q18" s="25">
        <f t="shared" si="3"/>
        <v>0</v>
      </c>
      <c r="R18" s="25">
        <f t="shared" si="3"/>
        <v>0</v>
      </c>
      <c r="S18" s="25">
        <f t="shared" si="3"/>
        <v>0</v>
      </c>
      <c r="T18" s="25">
        <f t="shared" si="3"/>
        <v>0</v>
      </c>
      <c r="U18" s="25">
        <f t="shared" si="3"/>
        <v>0</v>
      </c>
      <c r="V18" s="25">
        <f t="shared" si="3"/>
        <v>0</v>
      </c>
      <c r="W18" s="25">
        <f t="shared" si="3"/>
        <v>0</v>
      </c>
      <c r="X18" s="25">
        <f t="shared" si="3"/>
        <v>0</v>
      </c>
      <c r="Y18" s="25">
        <f t="shared" si="3"/>
        <v>0</v>
      </c>
      <c r="Z18" s="25">
        <f t="shared" si="3"/>
        <v>0</v>
      </c>
      <c r="AA18" s="25">
        <f t="shared" si="3"/>
        <v>0</v>
      </c>
      <c r="AB18" s="25">
        <f t="shared" si="3"/>
        <v>0</v>
      </c>
      <c r="AC18" s="25">
        <f t="shared" si="3"/>
        <v>0</v>
      </c>
      <c r="AD18" s="25">
        <f t="shared" si="3"/>
        <v>0</v>
      </c>
      <c r="AE18" s="25">
        <f t="shared" si="3"/>
        <v>0</v>
      </c>
      <c r="AF18" s="25">
        <f t="shared" si="3"/>
        <v>0</v>
      </c>
      <c r="AG18" s="25">
        <f t="shared" si="3"/>
        <v>0</v>
      </c>
      <c r="AH18" s="3"/>
      <c r="AI18" s="3"/>
      <c r="AJ18" s="3"/>
      <c r="AK18" s="3"/>
      <c r="AL18" s="3"/>
      <c r="AM18" s="11" t="s">
        <v>30</v>
      </c>
    </row>
    <row r="19">
      <c r="A19" s="15" t="s">
        <v>31</v>
      </c>
      <c r="C19" s="26">
        <f t="shared" ref="C19:AG19" si="4">COUNTIF(C8:C12, TRUE)</f>
        <v>0</v>
      </c>
      <c r="D19" s="26">
        <f t="shared" si="4"/>
        <v>0</v>
      </c>
      <c r="E19" s="26">
        <f t="shared" si="4"/>
        <v>0</v>
      </c>
      <c r="F19" s="26">
        <f t="shared" si="4"/>
        <v>0</v>
      </c>
      <c r="G19" s="26">
        <f t="shared" si="4"/>
        <v>0</v>
      </c>
      <c r="H19" s="26">
        <f t="shared" si="4"/>
        <v>0</v>
      </c>
      <c r="I19" s="26">
        <f t="shared" si="4"/>
        <v>0</v>
      </c>
      <c r="J19" s="26">
        <f t="shared" si="4"/>
        <v>0</v>
      </c>
      <c r="K19" s="26">
        <f t="shared" si="4"/>
        <v>0</v>
      </c>
      <c r="L19" s="26">
        <f t="shared" si="4"/>
        <v>0</v>
      </c>
      <c r="M19" s="26">
        <f t="shared" si="4"/>
        <v>0</v>
      </c>
      <c r="N19" s="26">
        <f t="shared" si="4"/>
        <v>0</v>
      </c>
      <c r="O19" s="26">
        <f t="shared" si="4"/>
        <v>0</v>
      </c>
      <c r="P19" s="26">
        <f t="shared" si="4"/>
        <v>0</v>
      </c>
      <c r="Q19" s="26">
        <f t="shared" si="4"/>
        <v>0</v>
      </c>
      <c r="R19" s="26">
        <f t="shared" si="4"/>
        <v>0</v>
      </c>
      <c r="S19" s="26">
        <f t="shared" si="4"/>
        <v>0</v>
      </c>
      <c r="T19" s="26">
        <f t="shared" si="4"/>
        <v>0</v>
      </c>
      <c r="U19" s="26">
        <f t="shared" si="4"/>
        <v>0</v>
      </c>
      <c r="V19" s="26">
        <f t="shared" si="4"/>
        <v>0</v>
      </c>
      <c r="W19" s="26">
        <f t="shared" si="4"/>
        <v>0</v>
      </c>
      <c r="X19" s="26">
        <f t="shared" si="4"/>
        <v>0</v>
      </c>
      <c r="Y19" s="26">
        <f t="shared" si="4"/>
        <v>0</v>
      </c>
      <c r="Z19" s="26">
        <f t="shared" si="4"/>
        <v>0</v>
      </c>
      <c r="AA19" s="26">
        <f t="shared" si="4"/>
        <v>0</v>
      </c>
      <c r="AB19" s="26">
        <f t="shared" si="4"/>
        <v>0</v>
      </c>
      <c r="AC19" s="26">
        <f t="shared" si="4"/>
        <v>0</v>
      </c>
      <c r="AD19" s="26">
        <f t="shared" si="4"/>
        <v>0</v>
      </c>
      <c r="AE19" s="26">
        <f t="shared" si="4"/>
        <v>0</v>
      </c>
      <c r="AF19" s="26">
        <f t="shared" si="4"/>
        <v>0</v>
      </c>
      <c r="AG19" s="26">
        <f t="shared" si="4"/>
        <v>0</v>
      </c>
      <c r="AH19" s="3"/>
      <c r="AI19" s="3"/>
      <c r="AJ19" s="3"/>
      <c r="AK19" s="3"/>
      <c r="AL19" s="3"/>
      <c r="AM19" s="27" t="s">
        <v>32</v>
      </c>
    </row>
    <row r="20">
      <c r="A20" s="15" t="s">
        <v>33</v>
      </c>
      <c r="C20" s="26">
        <f t="shared" ref="C20:AG20" si="5">COUNTIF(C8:C12, FALSE)</f>
        <v>5</v>
      </c>
      <c r="D20" s="26">
        <f t="shared" si="5"/>
        <v>5</v>
      </c>
      <c r="E20" s="26">
        <f t="shared" si="5"/>
        <v>5</v>
      </c>
      <c r="F20" s="26">
        <f t="shared" si="5"/>
        <v>5</v>
      </c>
      <c r="G20" s="26">
        <f t="shared" si="5"/>
        <v>5</v>
      </c>
      <c r="H20" s="26">
        <f t="shared" si="5"/>
        <v>5</v>
      </c>
      <c r="I20" s="26">
        <f t="shared" si="5"/>
        <v>5</v>
      </c>
      <c r="J20" s="26">
        <f t="shared" si="5"/>
        <v>5</v>
      </c>
      <c r="K20" s="26">
        <f t="shared" si="5"/>
        <v>5</v>
      </c>
      <c r="L20" s="26">
        <f t="shared" si="5"/>
        <v>5</v>
      </c>
      <c r="M20" s="26">
        <f t="shared" si="5"/>
        <v>5</v>
      </c>
      <c r="N20" s="26">
        <f t="shared" si="5"/>
        <v>5</v>
      </c>
      <c r="O20" s="26">
        <f t="shared" si="5"/>
        <v>5</v>
      </c>
      <c r="P20" s="26">
        <f t="shared" si="5"/>
        <v>5</v>
      </c>
      <c r="Q20" s="26">
        <f t="shared" si="5"/>
        <v>5</v>
      </c>
      <c r="R20" s="26">
        <f t="shared" si="5"/>
        <v>5</v>
      </c>
      <c r="S20" s="26">
        <f t="shared" si="5"/>
        <v>5</v>
      </c>
      <c r="T20" s="26">
        <f t="shared" si="5"/>
        <v>5</v>
      </c>
      <c r="U20" s="26">
        <f t="shared" si="5"/>
        <v>5</v>
      </c>
      <c r="V20" s="26">
        <f t="shared" si="5"/>
        <v>5</v>
      </c>
      <c r="W20" s="26">
        <f t="shared" si="5"/>
        <v>5</v>
      </c>
      <c r="X20" s="26">
        <f t="shared" si="5"/>
        <v>5</v>
      </c>
      <c r="Y20" s="26">
        <f t="shared" si="5"/>
        <v>5</v>
      </c>
      <c r="Z20" s="26">
        <f t="shared" si="5"/>
        <v>5</v>
      </c>
      <c r="AA20" s="26">
        <f t="shared" si="5"/>
        <v>5</v>
      </c>
      <c r="AB20" s="26">
        <f t="shared" si="5"/>
        <v>5</v>
      </c>
      <c r="AC20" s="26">
        <f t="shared" si="5"/>
        <v>5</v>
      </c>
      <c r="AD20" s="26">
        <f t="shared" si="5"/>
        <v>5</v>
      </c>
      <c r="AE20" s="26">
        <f t="shared" si="5"/>
        <v>5</v>
      </c>
      <c r="AF20" s="26">
        <f t="shared" si="5"/>
        <v>5</v>
      </c>
      <c r="AG20" s="26">
        <f t="shared" si="5"/>
        <v>5</v>
      </c>
      <c r="AH20" s="3"/>
      <c r="AI20" s="3"/>
      <c r="AJ20" s="3"/>
      <c r="AK20" s="3"/>
      <c r="AL20" s="3"/>
    </row>
    <row r="21">
      <c r="AD21" s="28"/>
      <c r="AE21" s="28"/>
      <c r="AF21" s="28"/>
      <c r="AG21" s="28"/>
      <c r="AH21" s="28"/>
      <c r="AI21" s="3"/>
      <c r="AJ21" s="3"/>
      <c r="AK21" s="3"/>
      <c r="AL21" s="3"/>
    </row>
    <row r="22">
      <c r="AD22" s="28"/>
      <c r="AE22" s="28"/>
      <c r="AF22" s="28"/>
      <c r="AG22" s="28"/>
      <c r="AH22" s="28"/>
      <c r="AI22" s="3"/>
      <c r="AJ22" s="3"/>
      <c r="AK22" s="3"/>
      <c r="AL22" s="3"/>
    </row>
    <row r="23">
      <c r="AI23" s="3"/>
      <c r="AJ23" s="3"/>
      <c r="AK23" s="3"/>
      <c r="AL23" s="3"/>
    </row>
    <row r="24">
      <c r="AI24" s="3"/>
      <c r="AJ24" s="3"/>
      <c r="AK24" s="3"/>
      <c r="AL24" s="3"/>
    </row>
    <row r="25">
      <c r="AI25" s="3"/>
      <c r="AJ25" s="3"/>
      <c r="AK25" s="3"/>
      <c r="AL25" s="3"/>
    </row>
    <row r="26">
      <c r="AD26" s="28"/>
      <c r="AE26" s="28"/>
      <c r="AF26" s="28"/>
      <c r="AG26" s="28"/>
      <c r="AH26" s="28"/>
      <c r="AI26" s="3"/>
      <c r="AJ26" s="3"/>
      <c r="AK26" s="3"/>
      <c r="AL26" s="3"/>
    </row>
    <row r="27"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</row>
    <row r="28"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</row>
    <row r="29">
      <c r="AD29" s="28"/>
      <c r="AE29" s="28"/>
      <c r="AF29" s="28"/>
      <c r="AG29" s="28"/>
      <c r="AH29" s="28"/>
      <c r="AM29" s="28"/>
      <c r="AN29" s="28"/>
      <c r="AO29" s="28"/>
      <c r="AP29" s="28"/>
    </row>
    <row r="30">
      <c r="AM30" s="28"/>
      <c r="AN30" s="28"/>
      <c r="AO30" s="28"/>
      <c r="AP30" s="28"/>
    </row>
    <row r="31">
      <c r="AM31" s="28"/>
      <c r="AN31" s="28"/>
      <c r="AO31" s="28"/>
      <c r="AP31" s="28"/>
    </row>
    <row r="32"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</row>
    <row r="33"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</row>
    <row r="34"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</row>
    <row r="35"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</row>
    <row r="36"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</row>
    <row r="37"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</row>
    <row r="38"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</row>
    <row r="39"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</row>
    <row r="40"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</row>
    <row r="41"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</row>
    <row r="42"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</row>
    <row r="43"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</row>
    <row r="44"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</row>
    <row r="45"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</row>
    <row r="46"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</row>
    <row r="47"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</row>
    <row r="48"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</row>
    <row r="49"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</row>
    <row r="50"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</row>
    <row r="51"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</row>
    <row r="52"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</row>
    <row r="53"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</row>
    <row r="54"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</row>
    <row r="55"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</row>
    <row r="56"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</row>
    <row r="57"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</row>
    <row r="58"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</row>
    <row r="59"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</row>
    <row r="60"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</row>
    <row r="61"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</row>
    <row r="62"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</row>
    <row r="63"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</row>
    <row r="64"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</row>
    <row r="65">
      <c r="J65" s="15" t="s">
        <v>27</v>
      </c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</row>
    <row r="66">
      <c r="J66" s="15" t="s">
        <v>25</v>
      </c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</row>
    <row r="67">
      <c r="J67" s="15" t="s">
        <v>34</v>
      </c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</row>
    <row r="68">
      <c r="J68" s="15" t="s">
        <v>26</v>
      </c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</row>
    <row r="69"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</row>
    <row r="70"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</row>
    <row r="71"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</row>
    <row r="72"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</row>
    <row r="73"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</row>
    <row r="74"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</row>
    <row r="75"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</row>
    <row r="76"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</row>
    <row r="77"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</row>
    <row r="78"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</row>
    <row r="79"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</row>
    <row r="80"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</row>
    <row r="81"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</row>
    <row r="82"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</row>
    <row r="83"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</row>
    <row r="84"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</row>
    <row r="85"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</row>
    <row r="86"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</row>
    <row r="87"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</row>
    <row r="88"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</row>
    <row r="89"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</row>
    <row r="90"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</row>
    <row r="91"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</row>
    <row r="92"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</row>
    <row r="93"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</row>
    <row r="94"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</row>
    <row r="95"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</row>
    <row r="96"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</row>
    <row r="97"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</row>
    <row r="98"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</row>
    <row r="99"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</row>
    <row r="100"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</row>
    <row r="101"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</row>
    <row r="102"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</row>
    <row r="103"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</row>
    <row r="104"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</row>
    <row r="105"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</row>
    <row r="106"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</row>
    <row r="107"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</row>
    <row r="108"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</row>
    <row r="109"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</row>
    <row r="110"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</row>
    <row r="111"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</row>
    <row r="112"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</row>
    <row r="113"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</row>
    <row r="114"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</row>
    <row r="115"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</row>
    <row r="116"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</row>
    <row r="117"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</row>
    <row r="118"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</row>
    <row r="119"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</row>
    <row r="120"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</row>
    <row r="121"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</row>
    <row r="122"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</row>
    <row r="123"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</row>
    <row r="124"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</row>
    <row r="125"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</row>
    <row r="126"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</row>
    <row r="127"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</row>
    <row r="128"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</row>
    <row r="129"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</row>
    <row r="130"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</row>
    <row r="131"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</row>
    <row r="132"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</row>
    <row r="133"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</row>
    <row r="134"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</row>
    <row r="135"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</row>
    <row r="136"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</row>
    <row r="137"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</row>
    <row r="138"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</row>
    <row r="139"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</row>
    <row r="140"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</row>
    <row r="141"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</row>
    <row r="142"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</row>
    <row r="143"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</row>
    <row r="144"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</row>
    <row r="145"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</row>
    <row r="146"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</row>
    <row r="147"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</row>
    <row r="148"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</row>
    <row r="149"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</row>
    <row r="150"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</row>
    <row r="151"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</row>
    <row r="152"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</row>
    <row r="153"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</row>
    <row r="154"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</row>
    <row r="155"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</row>
    <row r="156"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</row>
    <row r="157"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</row>
    <row r="158"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</row>
    <row r="159"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</row>
    <row r="160"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</row>
    <row r="161"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</row>
    <row r="162"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</row>
    <row r="163"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</row>
    <row r="164"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</row>
    <row r="165"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</row>
    <row r="166"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</row>
    <row r="167"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</row>
    <row r="168"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</row>
    <row r="169"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</row>
    <row r="170"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</row>
    <row r="171"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</row>
    <row r="172"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</row>
    <row r="173"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</row>
    <row r="174"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</row>
    <row r="175"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</row>
    <row r="176"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</row>
    <row r="177"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</row>
    <row r="178"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</row>
    <row r="179"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</row>
    <row r="180"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</row>
    <row r="181"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</row>
    <row r="182"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</row>
    <row r="183"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</row>
    <row r="184"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</row>
    <row r="185"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</row>
    <row r="186"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</row>
    <row r="187"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</row>
    <row r="188"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</row>
    <row r="189"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</row>
    <row r="190"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</row>
    <row r="191"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</row>
    <row r="192"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</row>
    <row r="193"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</row>
    <row r="194"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</row>
    <row r="195"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</row>
    <row r="196"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</row>
    <row r="197"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</row>
    <row r="198"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</row>
    <row r="199"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</row>
    <row r="200"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</row>
    <row r="201"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</row>
    <row r="202"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</row>
    <row r="203"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</row>
    <row r="204"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</row>
    <row r="205"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</row>
    <row r="206"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</row>
    <row r="207"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</row>
    <row r="208"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</row>
    <row r="209"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</row>
    <row r="210"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</row>
    <row r="211"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</row>
    <row r="212"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</row>
    <row r="213"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</row>
    <row r="214"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</row>
    <row r="215"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</row>
    <row r="216"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</row>
    <row r="217"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</row>
    <row r="218"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</row>
    <row r="219"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</row>
    <row r="220"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</row>
    <row r="221"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</row>
    <row r="222"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</row>
    <row r="223"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</row>
    <row r="224"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</row>
    <row r="225"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</row>
    <row r="226"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</row>
    <row r="227"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</row>
    <row r="228"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</row>
    <row r="229"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</row>
    <row r="230"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</row>
    <row r="231"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</row>
    <row r="232"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</row>
    <row r="233"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</row>
    <row r="234"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</row>
    <row r="235"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</row>
    <row r="236"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</row>
    <row r="237"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</row>
    <row r="238"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</row>
    <row r="239"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</row>
    <row r="240"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</row>
    <row r="241"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</row>
    <row r="242"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</row>
    <row r="243"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</row>
    <row r="244"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</row>
    <row r="245"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</row>
    <row r="246"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</row>
    <row r="247"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</row>
    <row r="248"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</row>
    <row r="249"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</row>
    <row r="250"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</row>
    <row r="251"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</row>
    <row r="252"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</row>
    <row r="253"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</row>
    <row r="254"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</row>
    <row r="255"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</row>
    <row r="256"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</row>
    <row r="257"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</row>
    <row r="258"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</row>
    <row r="259"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</row>
    <row r="260"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</row>
    <row r="261"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</row>
    <row r="262"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</row>
    <row r="263"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</row>
    <row r="264"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</row>
    <row r="265"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</row>
    <row r="266"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</row>
    <row r="267"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</row>
    <row r="268"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</row>
    <row r="269"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</row>
    <row r="270"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</row>
    <row r="271"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</row>
    <row r="272"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</row>
    <row r="273"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</row>
    <row r="274"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</row>
    <row r="275"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</row>
    <row r="276"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</row>
    <row r="277"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</row>
    <row r="278"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</row>
    <row r="279"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</row>
    <row r="280"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</row>
    <row r="281"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</row>
    <row r="282"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</row>
    <row r="283"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</row>
    <row r="284"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</row>
    <row r="285"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</row>
    <row r="286"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</row>
    <row r="287"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</row>
    <row r="288"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</row>
    <row r="289"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</row>
    <row r="290"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</row>
    <row r="291"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</row>
    <row r="292"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</row>
    <row r="293"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</row>
    <row r="294"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</row>
    <row r="295"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</row>
    <row r="296"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</row>
    <row r="297"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</row>
    <row r="298"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</row>
    <row r="299"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</row>
    <row r="300"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</row>
    <row r="301"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</row>
    <row r="302"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</row>
    <row r="303"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</row>
    <row r="304"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</row>
    <row r="305"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</row>
    <row r="306"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</row>
    <row r="307"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</row>
    <row r="308"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</row>
    <row r="309"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</row>
    <row r="310"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</row>
    <row r="311"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</row>
    <row r="312"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</row>
    <row r="313"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</row>
    <row r="314"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</row>
    <row r="315"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</row>
    <row r="316"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</row>
    <row r="317"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</row>
    <row r="318"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</row>
    <row r="319"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</row>
    <row r="320"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</row>
    <row r="321"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</row>
    <row r="322"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</row>
    <row r="323"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</row>
    <row r="324"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</row>
    <row r="325"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</row>
    <row r="326"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</row>
    <row r="327"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</row>
    <row r="328"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</row>
    <row r="329"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</row>
    <row r="330"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</row>
    <row r="331"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</row>
    <row r="332"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</row>
    <row r="333"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</row>
    <row r="334"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</row>
    <row r="335"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</row>
    <row r="336"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</row>
    <row r="337"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</row>
    <row r="338"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</row>
    <row r="339"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</row>
    <row r="340"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</row>
    <row r="341"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</row>
    <row r="342"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</row>
    <row r="343"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</row>
    <row r="344"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</row>
    <row r="345"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</row>
    <row r="346"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</row>
    <row r="347"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</row>
    <row r="348"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</row>
    <row r="349"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</row>
    <row r="350"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</row>
    <row r="351"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</row>
    <row r="352"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</row>
    <row r="353"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</row>
    <row r="354"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</row>
    <row r="355"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</row>
    <row r="356"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</row>
    <row r="357"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</row>
    <row r="358"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</row>
    <row r="359"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</row>
    <row r="360"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</row>
    <row r="361"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</row>
    <row r="362"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</row>
    <row r="363"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</row>
    <row r="364"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</row>
    <row r="365"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</row>
    <row r="366"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</row>
    <row r="367"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</row>
    <row r="368"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</row>
    <row r="369"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</row>
    <row r="370"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</row>
    <row r="371"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</row>
    <row r="372"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</row>
    <row r="373"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</row>
    <row r="374"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</row>
    <row r="375"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</row>
    <row r="376"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</row>
    <row r="377"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</row>
    <row r="378"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</row>
    <row r="379"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</row>
    <row r="380"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</row>
    <row r="381"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</row>
    <row r="382"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</row>
    <row r="383"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</row>
    <row r="384"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</row>
    <row r="385"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</row>
    <row r="386"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</row>
    <row r="387"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</row>
    <row r="388"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</row>
    <row r="389"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</row>
    <row r="390"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</row>
    <row r="391"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</row>
    <row r="392"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</row>
    <row r="393"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</row>
    <row r="394"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</row>
    <row r="395"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</row>
    <row r="396"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</row>
    <row r="397"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</row>
    <row r="398"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</row>
    <row r="399"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</row>
    <row r="400"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</row>
    <row r="401"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</row>
    <row r="402"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</row>
    <row r="403"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</row>
    <row r="404"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</row>
    <row r="405"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</row>
    <row r="406"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</row>
    <row r="407"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</row>
    <row r="408"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</row>
    <row r="409"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</row>
    <row r="410"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</row>
    <row r="411"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</row>
    <row r="412"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</row>
    <row r="413"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</row>
    <row r="414"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</row>
    <row r="415"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</row>
    <row r="416"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</row>
    <row r="417"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</row>
    <row r="418"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</row>
    <row r="419"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</row>
    <row r="420"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</row>
    <row r="421"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</row>
    <row r="422"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</row>
    <row r="423"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</row>
    <row r="424"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</row>
    <row r="425"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</row>
    <row r="426"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</row>
    <row r="427"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</row>
    <row r="428"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</row>
    <row r="429"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</row>
    <row r="430"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</row>
    <row r="431"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</row>
    <row r="432"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</row>
    <row r="433"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</row>
    <row r="434"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</row>
    <row r="435"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</row>
    <row r="436"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</row>
    <row r="437"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</row>
    <row r="438"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</row>
    <row r="439"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</row>
    <row r="440"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</row>
    <row r="441"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</row>
    <row r="442"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</row>
    <row r="443"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</row>
    <row r="444"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</row>
    <row r="445"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</row>
    <row r="446"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</row>
    <row r="447"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</row>
    <row r="448"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</row>
    <row r="449"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</row>
    <row r="450"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</row>
    <row r="451"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</row>
    <row r="452"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</row>
    <row r="453"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</row>
    <row r="454"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</row>
    <row r="455"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</row>
    <row r="456"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</row>
    <row r="457"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</row>
    <row r="458"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</row>
    <row r="459"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</row>
    <row r="460"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</row>
    <row r="461"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</row>
    <row r="462"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</row>
    <row r="463"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</row>
    <row r="464"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</row>
    <row r="465"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</row>
    <row r="466"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</row>
    <row r="467"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</row>
    <row r="468"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</row>
    <row r="469"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</row>
    <row r="470"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</row>
    <row r="471"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</row>
    <row r="472"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</row>
    <row r="473"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</row>
    <row r="474"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</row>
    <row r="475"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</row>
    <row r="476"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</row>
    <row r="477"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</row>
    <row r="478"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</row>
    <row r="479"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</row>
    <row r="480"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</row>
    <row r="481"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</row>
    <row r="482"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</row>
    <row r="483"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</row>
    <row r="484"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</row>
    <row r="485"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</row>
    <row r="486"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</row>
    <row r="487"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</row>
    <row r="488"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</row>
    <row r="489"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</row>
    <row r="490"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</row>
    <row r="491"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</row>
    <row r="492"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</row>
    <row r="493"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</row>
    <row r="494"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</row>
    <row r="495"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</row>
    <row r="496"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</row>
    <row r="497"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</row>
    <row r="498"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</row>
    <row r="499"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</row>
    <row r="500"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</row>
    <row r="501"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</row>
    <row r="502"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</row>
    <row r="503"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</row>
    <row r="504"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</row>
    <row r="505"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</row>
    <row r="506"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</row>
    <row r="507"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</row>
    <row r="508"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</row>
    <row r="509"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</row>
    <row r="510"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</row>
    <row r="511"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</row>
    <row r="512"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</row>
    <row r="513"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</row>
    <row r="514"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</row>
    <row r="515"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</row>
    <row r="516"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</row>
    <row r="517"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</row>
    <row r="518"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</row>
    <row r="519"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</row>
    <row r="520"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</row>
    <row r="521"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</row>
    <row r="522"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</row>
    <row r="523"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</row>
    <row r="524"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</row>
    <row r="525"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</row>
    <row r="526"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</row>
    <row r="527"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</row>
    <row r="528"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</row>
    <row r="529"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</row>
    <row r="530"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</row>
    <row r="531"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</row>
    <row r="532"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</row>
    <row r="533"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</row>
    <row r="534"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</row>
    <row r="535"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</row>
    <row r="536"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</row>
    <row r="537"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</row>
    <row r="538"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</row>
    <row r="539"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</row>
    <row r="540"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</row>
    <row r="541"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</row>
    <row r="542"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</row>
    <row r="543"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</row>
    <row r="544"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</row>
    <row r="545"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</row>
    <row r="546"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</row>
    <row r="547"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</row>
    <row r="548"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</row>
    <row r="549"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</row>
    <row r="550"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</row>
    <row r="551"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</row>
    <row r="552"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</row>
    <row r="553"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</row>
    <row r="554"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</row>
    <row r="555"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</row>
    <row r="556"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</row>
    <row r="557"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</row>
    <row r="558"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</row>
    <row r="559"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</row>
    <row r="560"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</row>
    <row r="561"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</row>
    <row r="562"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</row>
    <row r="563"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</row>
    <row r="564"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</row>
    <row r="565"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</row>
    <row r="566"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</row>
    <row r="567"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</row>
    <row r="568"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</row>
    <row r="569"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</row>
    <row r="570"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</row>
    <row r="571"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</row>
    <row r="572"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</row>
    <row r="573"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</row>
    <row r="574"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</row>
    <row r="575"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</row>
    <row r="576"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</row>
    <row r="577"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</row>
    <row r="578"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</row>
    <row r="579"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</row>
    <row r="580"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</row>
    <row r="581"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</row>
    <row r="582"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</row>
    <row r="583"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</row>
    <row r="584"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</row>
    <row r="585"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</row>
    <row r="586"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</row>
    <row r="587"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</row>
    <row r="588"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</row>
    <row r="589"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</row>
    <row r="590"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</row>
    <row r="591"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</row>
    <row r="592"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</row>
    <row r="593"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</row>
    <row r="594"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</row>
    <row r="595"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</row>
    <row r="596"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</row>
    <row r="597"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</row>
    <row r="598"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</row>
    <row r="599"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</row>
    <row r="600"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</row>
    <row r="601"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</row>
    <row r="602"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</row>
    <row r="603"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</row>
    <row r="604"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</row>
    <row r="605"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</row>
    <row r="606"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</row>
    <row r="607"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</row>
    <row r="608"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</row>
    <row r="609"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</row>
    <row r="610"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</row>
    <row r="611"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</row>
    <row r="612"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</row>
    <row r="613"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</row>
    <row r="614"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</row>
    <row r="615"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</row>
    <row r="616"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</row>
    <row r="617"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</row>
    <row r="618"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</row>
    <row r="619"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</row>
    <row r="620"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</row>
    <row r="621"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</row>
    <row r="622"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</row>
    <row r="623"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</row>
    <row r="624"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</row>
    <row r="625"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</row>
    <row r="626"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</row>
    <row r="627"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</row>
    <row r="628"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</row>
    <row r="629"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</row>
    <row r="630"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</row>
    <row r="631"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</row>
    <row r="632"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</row>
    <row r="633"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</row>
    <row r="634"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</row>
    <row r="635"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</row>
    <row r="636"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</row>
    <row r="637"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</row>
    <row r="638"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</row>
    <row r="639"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</row>
    <row r="640"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</row>
    <row r="641"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</row>
    <row r="642"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</row>
    <row r="643"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</row>
    <row r="644"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</row>
    <row r="645"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</row>
    <row r="646"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</row>
    <row r="647"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</row>
    <row r="648"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</row>
    <row r="649"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</row>
    <row r="650"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</row>
    <row r="651"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</row>
    <row r="652"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</row>
    <row r="653"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</row>
    <row r="654"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</row>
    <row r="655"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</row>
    <row r="656"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</row>
    <row r="657"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</row>
    <row r="658"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</row>
    <row r="659"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</row>
    <row r="660"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</row>
    <row r="661"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</row>
    <row r="662"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</row>
    <row r="663"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</row>
    <row r="664"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</row>
    <row r="665"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</row>
    <row r="666"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</row>
    <row r="667"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</row>
    <row r="668"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</row>
    <row r="669"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</row>
    <row r="670"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</row>
    <row r="671"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</row>
    <row r="672"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</row>
    <row r="673"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</row>
    <row r="674"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</row>
    <row r="675"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</row>
    <row r="676"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</row>
    <row r="677"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</row>
    <row r="678"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</row>
    <row r="679"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</row>
    <row r="680"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</row>
    <row r="681"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</row>
    <row r="682"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</row>
    <row r="683"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</row>
    <row r="684"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</row>
    <row r="685"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</row>
    <row r="686"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</row>
    <row r="687"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</row>
    <row r="688"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</row>
    <row r="689"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</row>
    <row r="690"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</row>
    <row r="691"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</row>
    <row r="692"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</row>
    <row r="693"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</row>
    <row r="694"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</row>
    <row r="695"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</row>
    <row r="696"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</row>
    <row r="697"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</row>
    <row r="698"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</row>
    <row r="699"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</row>
    <row r="700"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</row>
    <row r="701"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</row>
    <row r="702"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</row>
    <row r="703"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</row>
    <row r="704"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</row>
    <row r="705"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</row>
    <row r="706"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</row>
    <row r="707"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</row>
    <row r="708"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</row>
    <row r="709"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</row>
    <row r="710"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</row>
    <row r="711"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</row>
    <row r="712"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</row>
    <row r="713"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</row>
    <row r="714"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</row>
    <row r="715"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</row>
    <row r="716"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</row>
    <row r="717"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</row>
    <row r="718"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</row>
    <row r="719"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</row>
    <row r="720"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</row>
    <row r="721"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</row>
    <row r="722"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</row>
    <row r="723"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</row>
    <row r="724"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</row>
    <row r="725"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</row>
    <row r="726"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</row>
    <row r="727"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</row>
    <row r="728"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</row>
    <row r="729"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</row>
    <row r="730"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</row>
    <row r="731"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</row>
    <row r="732"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</row>
    <row r="733"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</row>
    <row r="734"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</row>
    <row r="735"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</row>
    <row r="736"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</row>
    <row r="737"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</row>
    <row r="738"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</row>
    <row r="739"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</row>
    <row r="740"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</row>
    <row r="741"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</row>
    <row r="742"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</row>
    <row r="743"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</row>
    <row r="744"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</row>
    <row r="745"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</row>
    <row r="746"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</row>
    <row r="747"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</row>
    <row r="748"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</row>
    <row r="749"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</row>
    <row r="750"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</row>
    <row r="751"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</row>
    <row r="752"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</row>
    <row r="753"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</row>
    <row r="754"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</row>
    <row r="755"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</row>
    <row r="756"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</row>
    <row r="757"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</row>
    <row r="758"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</row>
    <row r="759"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</row>
    <row r="760"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</row>
    <row r="761"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</row>
    <row r="762"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</row>
    <row r="763"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</row>
    <row r="764"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</row>
    <row r="765"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</row>
    <row r="766"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</row>
    <row r="767"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</row>
    <row r="768"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</row>
    <row r="769"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</row>
    <row r="770"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</row>
    <row r="771"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</row>
    <row r="772"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</row>
    <row r="773"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</row>
    <row r="774"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</row>
    <row r="775"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</row>
    <row r="776"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</row>
    <row r="777"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</row>
    <row r="778"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</row>
    <row r="779"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</row>
    <row r="780"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</row>
    <row r="781"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</row>
    <row r="782"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</row>
    <row r="783"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</row>
    <row r="784"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</row>
    <row r="785"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</row>
    <row r="786"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</row>
    <row r="787"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</row>
    <row r="788"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</row>
    <row r="789"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</row>
    <row r="790"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</row>
    <row r="791"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</row>
    <row r="792"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</row>
    <row r="793"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</row>
    <row r="794"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</row>
    <row r="795"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</row>
    <row r="796"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</row>
    <row r="797"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</row>
    <row r="798"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</row>
    <row r="799"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</row>
    <row r="800"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</row>
    <row r="801"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</row>
    <row r="802"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</row>
    <row r="803"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</row>
    <row r="804"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</row>
    <row r="805"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</row>
    <row r="806"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</row>
    <row r="807"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</row>
    <row r="808"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</row>
    <row r="809"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</row>
    <row r="810"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</row>
    <row r="811"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</row>
    <row r="812"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</row>
    <row r="813"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</row>
    <row r="814"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</row>
    <row r="815"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</row>
    <row r="816"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</row>
    <row r="817"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</row>
    <row r="818"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</row>
    <row r="819"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</row>
    <row r="820"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</row>
    <row r="821"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</row>
    <row r="822"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</row>
    <row r="823"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</row>
    <row r="824"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</row>
    <row r="825"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</row>
    <row r="826"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</row>
    <row r="827"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</row>
    <row r="828"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</row>
    <row r="829"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</row>
    <row r="830"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</row>
    <row r="831"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</row>
    <row r="832"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</row>
    <row r="833"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</row>
    <row r="834"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</row>
    <row r="835"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</row>
    <row r="836"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</row>
    <row r="837"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</row>
    <row r="838"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</row>
    <row r="839"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</row>
    <row r="840"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</row>
    <row r="841"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</row>
    <row r="842"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</row>
    <row r="843"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</row>
    <row r="844"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</row>
    <row r="845"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</row>
    <row r="846"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</row>
    <row r="847"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</row>
    <row r="848"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</row>
    <row r="849"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</row>
    <row r="850"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</row>
    <row r="851"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</row>
    <row r="852"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</row>
    <row r="853"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</row>
    <row r="854"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</row>
    <row r="855"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</row>
    <row r="856"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</row>
    <row r="857"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</row>
    <row r="858"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</row>
    <row r="859"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</row>
    <row r="860"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</row>
    <row r="861"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</row>
    <row r="862"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</row>
    <row r="863"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</row>
    <row r="864"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</row>
    <row r="865"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</row>
    <row r="866"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</row>
    <row r="867"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</row>
    <row r="868"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</row>
    <row r="869"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</row>
    <row r="870"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</row>
    <row r="871"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</row>
    <row r="872"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</row>
    <row r="873"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</row>
    <row r="874"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</row>
    <row r="875"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</row>
    <row r="876"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</row>
    <row r="877"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</row>
    <row r="878"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</row>
    <row r="879"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</row>
    <row r="880"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</row>
    <row r="881"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</row>
    <row r="882"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</row>
    <row r="883"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</row>
    <row r="884"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</row>
    <row r="885"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</row>
    <row r="886"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</row>
    <row r="887"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</row>
    <row r="888"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</row>
    <row r="889"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</row>
    <row r="890"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</row>
    <row r="891"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</row>
    <row r="892"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</row>
    <row r="893"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</row>
    <row r="894"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</row>
    <row r="895"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</row>
    <row r="896"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</row>
    <row r="897"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</row>
    <row r="898"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</row>
    <row r="899"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</row>
    <row r="900"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</row>
    <row r="901"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</row>
    <row r="902"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</row>
    <row r="903"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</row>
    <row r="904"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</row>
    <row r="905"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</row>
    <row r="906"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</row>
    <row r="907"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</row>
    <row r="908"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</row>
    <row r="909"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</row>
    <row r="910"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</row>
    <row r="911"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</row>
    <row r="912"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</row>
    <row r="913"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</row>
    <row r="914"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</row>
    <row r="915"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</row>
    <row r="916"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</row>
    <row r="917"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</row>
    <row r="918"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</row>
    <row r="919"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</row>
    <row r="920"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</row>
    <row r="921"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</row>
    <row r="922"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</row>
    <row r="923"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</row>
    <row r="924"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</row>
    <row r="925"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</row>
    <row r="926"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</row>
    <row r="927"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</row>
    <row r="928"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</row>
    <row r="929"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</row>
    <row r="930"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</row>
    <row r="931"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</row>
    <row r="932"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</row>
    <row r="933"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</row>
    <row r="934"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</row>
    <row r="935"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</row>
    <row r="936"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</row>
    <row r="937"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</row>
    <row r="938"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</row>
    <row r="939"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</row>
    <row r="940"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</row>
    <row r="941"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</row>
    <row r="942"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</row>
    <row r="943"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</row>
    <row r="944"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</row>
    <row r="945"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</row>
    <row r="946"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</row>
    <row r="947"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</row>
    <row r="948"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</row>
    <row r="949"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</row>
    <row r="950"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</row>
    <row r="951"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</row>
    <row r="952"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</row>
    <row r="953"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</row>
    <row r="954"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</row>
    <row r="955"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</row>
    <row r="956"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</row>
    <row r="957"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</row>
    <row r="958"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</row>
    <row r="959"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</row>
    <row r="960"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</row>
    <row r="961"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</row>
    <row r="962"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</row>
    <row r="963"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</row>
    <row r="964"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</row>
    <row r="965"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</row>
    <row r="966"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</row>
    <row r="967"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</row>
    <row r="968"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</row>
    <row r="969"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</row>
    <row r="970"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</row>
    <row r="971"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</row>
    <row r="972"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</row>
    <row r="973"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</row>
    <row r="974"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</row>
    <row r="975"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</row>
    <row r="976"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</row>
    <row r="977"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</row>
    <row r="978"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</row>
    <row r="979"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</row>
    <row r="980"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</row>
    <row r="981"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</row>
    <row r="982"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</row>
    <row r="983"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</row>
    <row r="984"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</row>
    <row r="985"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</row>
    <row r="986"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</row>
    <row r="987"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</row>
    <row r="988"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</row>
    <row r="989"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</row>
    <row r="990"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</row>
    <row r="991"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</row>
    <row r="992"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</row>
    <row r="993"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</row>
    <row r="994"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</row>
    <row r="995"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</row>
    <row r="996"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</row>
    <row r="997"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</row>
    <row r="998"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</row>
    <row r="999"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</row>
    <row r="1000"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</row>
    <row r="1001">
      <c r="AD1001" s="28"/>
      <c r="AE1001" s="28"/>
      <c r="AF1001" s="28"/>
      <c r="AG1001" s="28"/>
      <c r="AH1001" s="28"/>
      <c r="AI1001" s="28"/>
      <c r="AJ1001" s="28"/>
      <c r="AK1001" s="28"/>
      <c r="AL1001" s="28"/>
      <c r="AM1001" s="28"/>
      <c r="AN1001" s="28"/>
      <c r="AO1001" s="28"/>
      <c r="AP1001" s="28"/>
    </row>
    <row r="1002">
      <c r="AD1002" s="28"/>
      <c r="AE1002" s="28"/>
      <c r="AF1002" s="28"/>
      <c r="AG1002" s="28"/>
      <c r="AH1002" s="28"/>
      <c r="AI1002" s="28"/>
      <c r="AJ1002" s="28"/>
      <c r="AK1002" s="28"/>
      <c r="AL1002" s="28"/>
      <c r="AM1002" s="28"/>
      <c r="AN1002" s="28"/>
      <c r="AO1002" s="28"/>
      <c r="AP1002" s="28"/>
    </row>
  </sheetData>
  <mergeCells count="23">
    <mergeCell ref="I1:N1"/>
    <mergeCell ref="I2:N2"/>
    <mergeCell ref="A18:B18"/>
    <mergeCell ref="A19:B19"/>
    <mergeCell ref="C5:I5"/>
    <mergeCell ref="A5:B7"/>
    <mergeCell ref="A4:AG4"/>
    <mergeCell ref="I3:AG3"/>
    <mergeCell ref="J5:P5"/>
    <mergeCell ref="AE5:AK5"/>
    <mergeCell ref="Q5:W5"/>
    <mergeCell ref="X5:AD5"/>
    <mergeCell ref="W1:AC1"/>
    <mergeCell ref="W2:AC2"/>
    <mergeCell ref="O1:V1"/>
    <mergeCell ref="O2:V2"/>
    <mergeCell ref="AD1:AG1"/>
    <mergeCell ref="AM19:AP26"/>
    <mergeCell ref="AM18:AP18"/>
    <mergeCell ref="A1:H3"/>
    <mergeCell ref="A20:B20"/>
    <mergeCell ref="AM5:AP6"/>
    <mergeCell ref="AD2:AG2"/>
  </mergeCells>
  <drawing r:id="rId1"/>
</worksheet>
</file>